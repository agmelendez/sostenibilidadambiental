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y_\Documents\II-2025\Practica profesional II\EPI-Ambiente\Mis documentos\Geoespacial\"/>
    </mc:Choice>
  </mc:AlternateContent>
  <xr:revisionPtr revIDLastSave="0" documentId="13_ncr:1_{DA54A7E6-B28B-4759-8185-7CA593725C69}" xr6:coauthVersionLast="47" xr6:coauthVersionMax="47" xr10:uidLastSave="{00000000-0000-0000-0000-000000000000}"/>
  <bookViews>
    <workbookView xWindow="11424" yWindow="0" windowWidth="11712" windowHeight="12336" firstSheet="2" activeTab="2" xr2:uid="{B7AC2FBC-173E-4B64-BDB0-6005F52A4329}"/>
  </bookViews>
  <sheets>
    <sheet name="Cantones" sheetId="1" r:id="rId1"/>
    <sheet name="Area protegida" sheetId="2" r:id="rId2"/>
    <sheet name="Territorial Protected Ar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2" i="3"/>
</calcChain>
</file>

<file path=xl/sharedStrings.xml><?xml version="1.0" encoding="utf-8"?>
<sst xmlns="http://schemas.openxmlformats.org/spreadsheetml/2006/main" count="499" uniqueCount="90">
  <si>
    <t>Desamparados</t>
  </si>
  <si>
    <t>Puriscal</t>
  </si>
  <si>
    <t>Mora</t>
  </si>
  <si>
    <t>Goicoechea</t>
  </si>
  <si>
    <t>Santa Ana</t>
  </si>
  <si>
    <t>Alajuelita</t>
  </si>
  <si>
    <t>Acosta</t>
  </si>
  <si>
    <t>Moravia</t>
  </si>
  <si>
    <t>Montes de Oca</t>
  </si>
  <si>
    <t>Turrubares</t>
  </si>
  <si>
    <t>Dota</t>
  </si>
  <si>
    <t>Curridabat</t>
  </si>
  <si>
    <t>Alajuela</t>
  </si>
  <si>
    <t>Grecia</t>
  </si>
  <si>
    <t>San Mateo</t>
  </si>
  <si>
    <t>Atenas</t>
  </si>
  <si>
    <t>Naranjo</t>
  </si>
  <si>
    <t>Palmares</t>
  </si>
  <si>
    <t>Orotina</t>
  </si>
  <si>
    <t>San Carlos</t>
  </si>
  <si>
    <t>Zarcero</t>
  </si>
  <si>
    <t>Upala</t>
  </si>
  <si>
    <t>Los Chiles</t>
  </si>
  <si>
    <t>Guatuso</t>
  </si>
  <si>
    <t>Cartago</t>
  </si>
  <si>
    <t>Turrialba</t>
  </si>
  <si>
    <t>Alvarado</t>
  </si>
  <si>
    <t>Oreamuno</t>
  </si>
  <si>
    <t>El Guarco</t>
  </si>
  <si>
    <t>Heredia</t>
  </si>
  <si>
    <t>Barva</t>
  </si>
  <si>
    <t>Santo Domingo</t>
  </si>
  <si>
    <t>San Rafael</t>
  </si>
  <si>
    <t>San Isidro</t>
  </si>
  <si>
    <t>Flores</t>
  </si>
  <si>
    <t>San Pablo</t>
  </si>
  <si>
    <t>Guanacaste</t>
  </si>
  <si>
    <t>Liberia</t>
  </si>
  <si>
    <t>Nicoya</t>
  </si>
  <si>
    <t>Santa Cruz</t>
  </si>
  <si>
    <t>Bagaces</t>
  </si>
  <si>
    <t>Carrillo</t>
  </si>
  <si>
    <t>Cañas</t>
  </si>
  <si>
    <t>Abangares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</si>
  <si>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</si>
  <si>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</si>
  <si>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</si>
  <si>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</si>
  <si>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</si>
  <si>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</si>
  <si>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</si>
  <si>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</si>
  <si>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</si>
  <si>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</si>
  <si>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</si>
  <si>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</si>
  <si>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</si>
  <si>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</si>
  <si>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</si>
  <si>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Siquirres</t>
  </si>
  <si>
    <t>Talamanca</t>
  </si>
  <si>
    <t>Matina</t>
  </si>
  <si>
    <t>Vazquez de Coronado</t>
  </si>
  <si>
    <t>Tibas</t>
  </si>
  <si>
    <t>Poas</t>
  </si>
  <si>
    <t>Santa Barbara</t>
  </si>
  <si>
    <t>Tilaran</t>
  </si>
  <si>
    <t>Guacimo</t>
  </si>
  <si>
    <t>San Jose</t>
  </si>
  <si>
    <t>Jimenez</t>
  </si>
  <si>
    <t>Belen</t>
  </si>
  <si>
    <t>Puerto Jimenez</t>
  </si>
  <si>
    <t>Aserri</t>
  </si>
  <si>
    <t>Sarchi</t>
  </si>
  <si>
    <t>Rio Cuarto</t>
  </si>
  <si>
    <t>Paraiso</t>
  </si>
  <si>
    <t>Sarapiqui</t>
  </si>
  <si>
    <t>Pococi</t>
  </si>
  <si>
    <t>Perez Zeledon</t>
  </si>
  <si>
    <t>Leon Cortes Castro</t>
  </si>
  <si>
    <t>San Ramon</t>
  </si>
  <si>
    <t>La Union</t>
  </si>
  <si>
    <t>Limon</t>
  </si>
  <si>
    <t>Escazu</t>
  </si>
  <si>
    <t>Tarrazu</t>
  </si>
  <si>
    <t>Area_protegida_ha</t>
  </si>
  <si>
    <t>Provincia</t>
  </si>
  <si>
    <t>Canton</t>
  </si>
  <si>
    <t>Area_total_ha</t>
  </si>
  <si>
    <t>%_Protegida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</si>
</sst>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1"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9400C-5761-46DA-A749-13F4C372797F}" name="Table1" displayName="Table1" ref="A1:C77" totalsRowShown="0">
  <autoFilter ref="A1:C77" xr:uid="{E289400C-5761-46DA-A749-13F4C372797F}"/>
  <tableColumns count="3">
    <tableColumn id="1" xr3:uid="{82BBF1FB-DAD9-4FE8-9A3F-8356A247753C}" name="Provincia"/>
    <tableColumn id="2" xr3:uid="{664B8BCD-FB67-4CAB-9BCD-407788C5E919}" name="Canton" dataDxfId="0"/>
    <tableColumn id="3" xr3:uid="{0D04590C-A734-4951-A842-2A84B7347AD8}" name="Area_protegida_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ECBB-A7C9-457C-ABF4-5655D4BBD2DE}">
  <dimension ref="A1:C85"/>
  <sheetViews>
    <sheetView workbookViewId="0">
      <selection activeCell="F5" sqref="F5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14" bestFit="1" customWidth="1"/>
  </cols>
  <sheetData>
    <row r="1" spans="1:3" x14ac:dyDescent="0.3">
      <c r="A1" s="1" t="s">
        <v>86</v>
      </c>
      <c r="B1" s="1" t="s">
        <v>87</v>
      </c>
      <c r="C1" s="1" t="s">
        <v>88</v>
      </c>
    </row>
    <row r="2" spans="1:3" x14ac:dyDescent="0.3">
      <c r="A2" t="s">
        <v>68</v>
      </c>
      <c r="B2" t="s">
        <v>68</v>
      </c>
      <c r="C2">
        <v>4462.4280543613704</v>
      </c>
    </row>
    <row r="3" spans="1:3" x14ac:dyDescent="0.3">
      <c r="A3" t="s">
        <v>68</v>
      </c>
      <c r="B3" t="s">
        <v>83</v>
      </c>
      <c r="C3">
        <v>3453.4795507031049</v>
      </c>
    </row>
    <row r="4" spans="1:3" x14ac:dyDescent="0.3">
      <c r="A4" t="s">
        <v>68</v>
      </c>
      <c r="B4" t="s">
        <v>0</v>
      </c>
      <c r="C4">
        <v>11891.49750607289</v>
      </c>
    </row>
    <row r="5" spans="1:3" x14ac:dyDescent="0.3">
      <c r="A5" t="s">
        <v>68</v>
      </c>
      <c r="B5" t="s">
        <v>1</v>
      </c>
      <c r="C5">
        <v>55502.26751808593</v>
      </c>
    </row>
    <row r="6" spans="1:3" x14ac:dyDescent="0.3">
      <c r="A6" t="s">
        <v>68</v>
      </c>
      <c r="B6" t="s">
        <v>84</v>
      </c>
      <c r="C6">
        <v>29126.763909642679</v>
      </c>
    </row>
    <row r="7" spans="1:3" x14ac:dyDescent="0.3">
      <c r="A7" t="s">
        <v>68</v>
      </c>
      <c r="B7" t="s">
        <v>72</v>
      </c>
      <c r="C7">
        <v>16825.912338260721</v>
      </c>
    </row>
    <row r="8" spans="1:3" x14ac:dyDescent="0.3">
      <c r="A8" t="s">
        <v>68</v>
      </c>
      <c r="B8" t="s">
        <v>2</v>
      </c>
      <c r="C8">
        <v>16346.65454935866</v>
      </c>
    </row>
    <row r="9" spans="1:3" x14ac:dyDescent="0.3">
      <c r="A9" t="s">
        <v>68</v>
      </c>
      <c r="B9" t="s">
        <v>3</v>
      </c>
      <c r="C9">
        <v>3169.5987666946749</v>
      </c>
    </row>
    <row r="10" spans="1:3" x14ac:dyDescent="0.3">
      <c r="A10" t="s">
        <v>68</v>
      </c>
      <c r="B10" t="s">
        <v>4</v>
      </c>
      <c r="C10">
        <v>6141.7554783774895</v>
      </c>
    </row>
    <row r="11" spans="1:3" x14ac:dyDescent="0.3">
      <c r="A11" t="s">
        <v>68</v>
      </c>
      <c r="B11" t="s">
        <v>5</v>
      </c>
      <c r="C11">
        <v>2146.5270610080452</v>
      </c>
    </row>
    <row r="12" spans="1:3" x14ac:dyDescent="0.3">
      <c r="A12" t="s">
        <v>68</v>
      </c>
      <c r="B12" t="s">
        <v>62</v>
      </c>
      <c r="C12">
        <v>22392.610831713992</v>
      </c>
    </row>
    <row r="13" spans="1:3" x14ac:dyDescent="0.3">
      <c r="A13" t="s">
        <v>68</v>
      </c>
      <c r="B13" t="s">
        <v>6</v>
      </c>
      <c r="C13">
        <v>34256.144929019909</v>
      </c>
    </row>
    <row r="14" spans="1:3" x14ac:dyDescent="0.3">
      <c r="A14" t="s">
        <v>68</v>
      </c>
      <c r="B14" t="s">
        <v>63</v>
      </c>
      <c r="C14">
        <v>826.94200947101501</v>
      </c>
    </row>
    <row r="15" spans="1:3" x14ac:dyDescent="0.3">
      <c r="A15" t="s">
        <v>68</v>
      </c>
      <c r="B15" t="s">
        <v>7</v>
      </c>
      <c r="C15">
        <v>2882.44796778209</v>
      </c>
    </row>
    <row r="16" spans="1:3" x14ac:dyDescent="0.3">
      <c r="A16" t="s">
        <v>68</v>
      </c>
      <c r="B16" t="s">
        <v>8</v>
      </c>
      <c r="C16">
        <v>1577.6202262050069</v>
      </c>
    </row>
    <row r="17" spans="1:3" x14ac:dyDescent="0.3">
      <c r="A17" t="s">
        <v>68</v>
      </c>
      <c r="B17" t="s">
        <v>9</v>
      </c>
      <c r="C17">
        <v>41624.803139273034</v>
      </c>
    </row>
    <row r="18" spans="1:3" x14ac:dyDescent="0.3">
      <c r="A18" t="s">
        <v>68</v>
      </c>
      <c r="B18" t="s">
        <v>10</v>
      </c>
      <c r="C18">
        <v>40444.367659517688</v>
      </c>
    </row>
    <row r="19" spans="1:3" x14ac:dyDescent="0.3">
      <c r="A19" t="s">
        <v>68</v>
      </c>
      <c r="B19" t="s">
        <v>11</v>
      </c>
      <c r="C19">
        <v>1606.260415864338</v>
      </c>
    </row>
    <row r="20" spans="1:3" x14ac:dyDescent="0.3">
      <c r="A20" t="s">
        <v>68</v>
      </c>
      <c r="B20" t="s">
        <v>78</v>
      </c>
      <c r="C20">
        <v>190108.2201448589</v>
      </c>
    </row>
    <row r="21" spans="1:3" x14ac:dyDescent="0.3">
      <c r="A21" t="s">
        <v>68</v>
      </c>
      <c r="B21" t="s">
        <v>79</v>
      </c>
      <c r="C21">
        <v>12189.457278857109</v>
      </c>
    </row>
    <row r="22" spans="1:3" x14ac:dyDescent="0.3">
      <c r="A22" t="s">
        <v>12</v>
      </c>
      <c r="B22" t="s">
        <v>12</v>
      </c>
      <c r="C22">
        <v>39162.276793957062</v>
      </c>
    </row>
    <row r="23" spans="1:3" x14ac:dyDescent="0.3">
      <c r="A23" t="s">
        <v>12</v>
      </c>
      <c r="B23" t="s">
        <v>80</v>
      </c>
      <c r="C23">
        <v>102173.5751204033</v>
      </c>
    </row>
    <row r="24" spans="1:3" x14ac:dyDescent="0.3">
      <c r="A24" t="s">
        <v>12</v>
      </c>
      <c r="B24" t="s">
        <v>13</v>
      </c>
      <c r="C24">
        <v>14246.71318307778</v>
      </c>
    </row>
    <row r="25" spans="1:3" x14ac:dyDescent="0.3">
      <c r="A25" t="s">
        <v>12</v>
      </c>
      <c r="B25" t="s">
        <v>14</v>
      </c>
      <c r="C25">
        <v>12502.97399402466</v>
      </c>
    </row>
    <row r="26" spans="1:3" x14ac:dyDescent="0.3">
      <c r="A26" t="s">
        <v>12</v>
      </c>
      <c r="B26" t="s">
        <v>15</v>
      </c>
      <c r="C26">
        <v>12631.062539054919</v>
      </c>
    </row>
    <row r="27" spans="1:3" x14ac:dyDescent="0.3">
      <c r="A27" t="s">
        <v>12</v>
      </c>
      <c r="B27" t="s">
        <v>16</v>
      </c>
      <c r="C27">
        <v>12701.46272013859</v>
      </c>
    </row>
    <row r="28" spans="1:3" x14ac:dyDescent="0.3">
      <c r="A28" t="s">
        <v>12</v>
      </c>
      <c r="B28" t="s">
        <v>17</v>
      </c>
      <c r="C28">
        <v>3893.60738520927</v>
      </c>
    </row>
    <row r="29" spans="1:3" x14ac:dyDescent="0.3">
      <c r="A29" t="s">
        <v>12</v>
      </c>
      <c r="B29" t="s">
        <v>64</v>
      </c>
      <c r="C29">
        <v>7448.1574520442264</v>
      </c>
    </row>
    <row r="30" spans="1:3" x14ac:dyDescent="0.3">
      <c r="A30" t="s">
        <v>12</v>
      </c>
      <c r="B30" t="s">
        <v>18</v>
      </c>
      <c r="C30">
        <v>14511.071250322029</v>
      </c>
    </row>
    <row r="31" spans="1:3" x14ac:dyDescent="0.3">
      <c r="A31" t="s">
        <v>12</v>
      </c>
      <c r="B31" t="s">
        <v>19</v>
      </c>
      <c r="C31">
        <v>335214.80698448018</v>
      </c>
    </row>
    <row r="32" spans="1:3" x14ac:dyDescent="0.3">
      <c r="A32" t="s">
        <v>12</v>
      </c>
      <c r="B32" t="s">
        <v>20</v>
      </c>
      <c r="C32">
        <v>15735.593144644279</v>
      </c>
    </row>
    <row r="33" spans="1:3" x14ac:dyDescent="0.3">
      <c r="A33" t="s">
        <v>12</v>
      </c>
      <c r="B33" t="s">
        <v>73</v>
      </c>
      <c r="C33">
        <v>13676.43512709921</v>
      </c>
    </row>
    <row r="34" spans="1:3" x14ac:dyDescent="0.3">
      <c r="A34" t="s">
        <v>12</v>
      </c>
      <c r="B34" t="s">
        <v>21</v>
      </c>
      <c r="C34">
        <v>159267.39877263471</v>
      </c>
    </row>
    <row r="35" spans="1:3" x14ac:dyDescent="0.3">
      <c r="A35" t="s">
        <v>12</v>
      </c>
      <c r="B35" t="s">
        <v>22</v>
      </c>
      <c r="C35">
        <v>133271.00229318719</v>
      </c>
    </row>
    <row r="36" spans="1:3" x14ac:dyDescent="0.3">
      <c r="A36" t="s">
        <v>12</v>
      </c>
      <c r="B36" t="s">
        <v>23</v>
      </c>
      <c r="C36">
        <v>75282.551885826833</v>
      </c>
    </row>
    <row r="37" spans="1:3" x14ac:dyDescent="0.3">
      <c r="A37" t="s">
        <v>12</v>
      </c>
      <c r="B37" t="s">
        <v>74</v>
      </c>
      <c r="C37">
        <v>25489.17148715982</v>
      </c>
    </row>
    <row r="38" spans="1:3" x14ac:dyDescent="0.3">
      <c r="A38" t="s">
        <v>24</v>
      </c>
      <c r="B38" t="s">
        <v>24</v>
      </c>
      <c r="C38">
        <v>27863.247269553249</v>
      </c>
    </row>
    <row r="39" spans="1:3" x14ac:dyDescent="0.3">
      <c r="A39" t="s">
        <v>24</v>
      </c>
      <c r="B39" t="s">
        <v>75</v>
      </c>
      <c r="C39">
        <v>47699.056896574431</v>
      </c>
    </row>
    <row r="40" spans="1:3" x14ac:dyDescent="0.3">
      <c r="A40" t="s">
        <v>24</v>
      </c>
      <c r="B40" t="s">
        <v>81</v>
      </c>
      <c r="C40">
        <v>4417.9418433692308</v>
      </c>
    </row>
    <row r="41" spans="1:3" x14ac:dyDescent="0.3">
      <c r="A41" t="s">
        <v>24</v>
      </c>
      <c r="B41" t="s">
        <v>69</v>
      </c>
      <c r="C41">
        <v>25007.27587831231</v>
      </c>
    </row>
    <row r="42" spans="1:3" x14ac:dyDescent="0.3">
      <c r="A42" t="s">
        <v>24</v>
      </c>
      <c r="B42" t="s">
        <v>25</v>
      </c>
      <c r="C42">
        <v>158924.65654535111</v>
      </c>
    </row>
    <row r="43" spans="1:3" x14ac:dyDescent="0.3">
      <c r="A43" t="s">
        <v>24</v>
      </c>
      <c r="B43" t="s">
        <v>26</v>
      </c>
      <c r="C43">
        <v>7918.3944478113008</v>
      </c>
    </row>
    <row r="44" spans="1:3" x14ac:dyDescent="0.3">
      <c r="A44" t="s">
        <v>24</v>
      </c>
      <c r="B44" t="s">
        <v>27</v>
      </c>
      <c r="C44">
        <v>20289.872812189151</v>
      </c>
    </row>
    <row r="45" spans="1:3" x14ac:dyDescent="0.3">
      <c r="A45" t="s">
        <v>24</v>
      </c>
      <c r="B45" t="s">
        <v>28</v>
      </c>
      <c r="C45">
        <v>17199.6796618847</v>
      </c>
    </row>
    <row r="46" spans="1:3" x14ac:dyDescent="0.3">
      <c r="A46" t="s">
        <v>29</v>
      </c>
      <c r="B46" t="s">
        <v>29</v>
      </c>
      <c r="C46">
        <v>28310.91125371301</v>
      </c>
    </row>
    <row r="47" spans="1:3" x14ac:dyDescent="0.3">
      <c r="A47" t="s">
        <v>29</v>
      </c>
      <c r="B47" t="s">
        <v>30</v>
      </c>
      <c r="C47">
        <v>5601.2008737926881</v>
      </c>
    </row>
    <row r="48" spans="1:3" x14ac:dyDescent="0.3">
      <c r="A48" t="s">
        <v>29</v>
      </c>
      <c r="B48" t="s">
        <v>31</v>
      </c>
      <c r="C48">
        <v>2539.7087699789122</v>
      </c>
    </row>
    <row r="49" spans="1:3" x14ac:dyDescent="0.3">
      <c r="A49" t="s">
        <v>29</v>
      </c>
      <c r="B49" t="s">
        <v>65</v>
      </c>
      <c r="C49">
        <v>5210.4953082267284</v>
      </c>
    </row>
    <row r="50" spans="1:3" x14ac:dyDescent="0.3">
      <c r="A50" t="s">
        <v>29</v>
      </c>
      <c r="B50" t="s">
        <v>32</v>
      </c>
      <c r="C50">
        <v>4831.2831306868184</v>
      </c>
    </row>
    <row r="51" spans="1:3" x14ac:dyDescent="0.3">
      <c r="A51" t="s">
        <v>29</v>
      </c>
      <c r="B51" t="s">
        <v>33</v>
      </c>
      <c r="C51">
        <v>2666.9084245192621</v>
      </c>
    </row>
    <row r="52" spans="1:3" x14ac:dyDescent="0.3">
      <c r="A52" t="s">
        <v>29</v>
      </c>
      <c r="B52" t="s">
        <v>70</v>
      </c>
      <c r="C52">
        <v>1238.271587995936</v>
      </c>
    </row>
    <row r="53" spans="1:3" x14ac:dyDescent="0.3">
      <c r="A53" t="s">
        <v>29</v>
      </c>
      <c r="B53" t="s">
        <v>34</v>
      </c>
      <c r="C53">
        <v>674.79477019438627</v>
      </c>
    </row>
    <row r="54" spans="1:3" x14ac:dyDescent="0.3">
      <c r="A54" t="s">
        <v>29</v>
      </c>
      <c r="B54" t="s">
        <v>35</v>
      </c>
      <c r="C54">
        <v>833.86695012615974</v>
      </c>
    </row>
    <row r="55" spans="1:3" x14ac:dyDescent="0.3">
      <c r="A55" t="s">
        <v>29</v>
      </c>
      <c r="B55" t="s">
        <v>76</v>
      </c>
      <c r="C55">
        <v>214426.45943952049</v>
      </c>
    </row>
    <row r="56" spans="1:3" x14ac:dyDescent="0.3">
      <c r="A56" t="s">
        <v>36</v>
      </c>
      <c r="B56" t="s">
        <v>37</v>
      </c>
      <c r="C56">
        <v>144216.85991050061</v>
      </c>
    </row>
    <row r="57" spans="1:3" x14ac:dyDescent="0.3">
      <c r="A57" t="s">
        <v>36</v>
      </c>
      <c r="B57" t="s">
        <v>38</v>
      </c>
      <c r="C57">
        <v>133756.99986779739</v>
      </c>
    </row>
    <row r="58" spans="1:3" x14ac:dyDescent="0.3">
      <c r="A58" t="s">
        <v>36</v>
      </c>
      <c r="B58" t="s">
        <v>39</v>
      </c>
      <c r="C58">
        <v>132080.99640780839</v>
      </c>
    </row>
    <row r="59" spans="1:3" x14ac:dyDescent="0.3">
      <c r="A59" t="s">
        <v>36</v>
      </c>
      <c r="B59" t="s">
        <v>40</v>
      </c>
      <c r="C59">
        <v>127792.5777787609</v>
      </c>
    </row>
    <row r="60" spans="1:3" x14ac:dyDescent="0.3">
      <c r="A60" t="s">
        <v>36</v>
      </c>
      <c r="B60" t="s">
        <v>41</v>
      </c>
      <c r="C60">
        <v>59901.146821761919</v>
      </c>
    </row>
    <row r="61" spans="1:3" x14ac:dyDescent="0.3">
      <c r="A61" t="s">
        <v>36</v>
      </c>
      <c r="B61" t="s">
        <v>42</v>
      </c>
      <c r="C61">
        <v>68704.751179740968</v>
      </c>
    </row>
    <row r="62" spans="1:3" x14ac:dyDescent="0.3">
      <c r="A62" t="s">
        <v>36</v>
      </c>
      <c r="B62" t="s">
        <v>43</v>
      </c>
      <c r="C62">
        <v>64602.059210060033</v>
      </c>
    </row>
    <row r="63" spans="1:3" x14ac:dyDescent="0.3">
      <c r="A63" t="s">
        <v>36</v>
      </c>
      <c r="B63" t="s">
        <v>66</v>
      </c>
      <c r="C63">
        <v>66923.446117274958</v>
      </c>
    </row>
    <row r="64" spans="1:3" x14ac:dyDescent="0.3">
      <c r="A64" t="s">
        <v>36</v>
      </c>
      <c r="B64" t="s">
        <v>44</v>
      </c>
      <c r="C64">
        <v>56814.242924566519</v>
      </c>
    </row>
    <row r="65" spans="1:3" x14ac:dyDescent="0.3">
      <c r="A65" t="s">
        <v>36</v>
      </c>
      <c r="B65" t="s">
        <v>45</v>
      </c>
      <c r="C65">
        <v>138539.86133952031</v>
      </c>
    </row>
    <row r="66" spans="1:3" x14ac:dyDescent="0.3">
      <c r="A66" t="s">
        <v>36</v>
      </c>
      <c r="B66" t="s">
        <v>46</v>
      </c>
      <c r="C66">
        <v>26298.93654956789</v>
      </c>
    </row>
    <row r="67" spans="1:3" x14ac:dyDescent="0.3">
      <c r="A67" t="s">
        <v>47</v>
      </c>
      <c r="B67" t="s">
        <v>47</v>
      </c>
      <c r="C67">
        <v>178640.03858231191</v>
      </c>
    </row>
    <row r="68" spans="1:3" x14ac:dyDescent="0.3">
      <c r="A68" t="s">
        <v>47</v>
      </c>
      <c r="B68" t="s">
        <v>48</v>
      </c>
      <c r="C68">
        <v>21723.243521595032</v>
      </c>
    </row>
    <row r="69" spans="1:3" x14ac:dyDescent="0.3">
      <c r="A69" t="s">
        <v>47</v>
      </c>
      <c r="B69" t="s">
        <v>49</v>
      </c>
      <c r="C69">
        <v>238293.9652208942</v>
      </c>
    </row>
    <row r="70" spans="1:3" x14ac:dyDescent="0.3">
      <c r="A70" t="s">
        <v>47</v>
      </c>
      <c r="B70" t="s">
        <v>50</v>
      </c>
      <c r="C70">
        <v>24758.990146132772</v>
      </c>
    </row>
    <row r="71" spans="1:3" x14ac:dyDescent="0.3">
      <c r="A71" t="s">
        <v>47</v>
      </c>
      <c r="B71" t="s">
        <v>51</v>
      </c>
      <c r="C71">
        <v>193269.72545248299</v>
      </c>
    </row>
    <row r="72" spans="1:3" x14ac:dyDescent="0.3">
      <c r="A72" t="s">
        <v>47</v>
      </c>
      <c r="B72" t="s">
        <v>52</v>
      </c>
      <c r="C72">
        <v>55785.441724109143</v>
      </c>
    </row>
    <row r="73" spans="1:3" x14ac:dyDescent="0.3">
      <c r="A73" t="s">
        <v>47</v>
      </c>
      <c r="B73" t="s">
        <v>53</v>
      </c>
      <c r="C73">
        <v>103231.5441829796</v>
      </c>
    </row>
    <row r="74" spans="1:3" x14ac:dyDescent="0.3">
      <c r="A74" t="s">
        <v>47</v>
      </c>
      <c r="B74" t="s">
        <v>54</v>
      </c>
      <c r="C74">
        <v>94423.550325267162</v>
      </c>
    </row>
    <row r="75" spans="1:3" x14ac:dyDescent="0.3">
      <c r="A75" t="s">
        <v>47</v>
      </c>
      <c r="B75" t="s">
        <v>55</v>
      </c>
      <c r="C75">
        <v>48321.795372992012</v>
      </c>
    </row>
    <row r="76" spans="1:3" x14ac:dyDescent="0.3">
      <c r="A76" t="s">
        <v>47</v>
      </c>
      <c r="B76" t="s">
        <v>56</v>
      </c>
      <c r="C76">
        <v>62364.798439268146</v>
      </c>
    </row>
    <row r="77" spans="1:3" x14ac:dyDescent="0.3">
      <c r="A77" t="s">
        <v>47</v>
      </c>
      <c r="B77" t="s">
        <v>57</v>
      </c>
      <c r="C77">
        <v>31601.050625172571</v>
      </c>
    </row>
    <row r="78" spans="1:3" x14ac:dyDescent="0.3">
      <c r="A78" t="s">
        <v>47</v>
      </c>
      <c r="B78" t="s">
        <v>58</v>
      </c>
      <c r="C78">
        <v>5347.1670068969697</v>
      </c>
    </row>
    <row r="79" spans="1:3" x14ac:dyDescent="0.3">
      <c r="A79" t="s">
        <v>47</v>
      </c>
      <c r="B79" t="s">
        <v>71</v>
      </c>
      <c r="C79">
        <v>72043.21194298075</v>
      </c>
    </row>
    <row r="80" spans="1:3" x14ac:dyDescent="0.3">
      <c r="A80" t="s">
        <v>82</v>
      </c>
      <c r="B80" t="s">
        <v>82</v>
      </c>
      <c r="C80">
        <v>176937.82965075769</v>
      </c>
    </row>
    <row r="81" spans="1:3" x14ac:dyDescent="0.3">
      <c r="A81" t="s">
        <v>82</v>
      </c>
      <c r="B81" t="s">
        <v>77</v>
      </c>
      <c r="C81">
        <v>218818.5456209461</v>
      </c>
    </row>
    <row r="82" spans="1:3" x14ac:dyDescent="0.3">
      <c r="A82" t="s">
        <v>82</v>
      </c>
      <c r="B82" t="s">
        <v>59</v>
      </c>
      <c r="C82">
        <v>85514.562554175616</v>
      </c>
    </row>
    <row r="83" spans="1:3" x14ac:dyDescent="0.3">
      <c r="A83" t="s">
        <v>82</v>
      </c>
      <c r="B83" t="s">
        <v>60</v>
      </c>
      <c r="C83">
        <v>279222.57001046248</v>
      </c>
    </row>
    <row r="84" spans="1:3" x14ac:dyDescent="0.3">
      <c r="A84" t="s">
        <v>82</v>
      </c>
      <c r="B84" t="s">
        <v>61</v>
      </c>
      <c r="C84">
        <v>77039.803771011997</v>
      </c>
    </row>
    <row r="85" spans="1:3" x14ac:dyDescent="0.3">
      <c r="A85" t="s">
        <v>82</v>
      </c>
      <c r="B85" t="s">
        <v>67</v>
      </c>
      <c r="C85">
        <v>80156.467635487206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0923-D441-4630-9536-735BCBF8D41D}">
  <dimension ref="A1:C77"/>
  <sheetViews>
    <sheetView workbookViewId="0">
      <selection activeCell="E6" sqref="E6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18.21875" customWidth="1"/>
  </cols>
  <sheetData>
    <row r="1" spans="1:3" x14ac:dyDescent="0.3">
      <c r="A1" t="s">
        <v>86</v>
      </c>
      <c r="B1" t="s">
        <v>87</v>
      </c>
      <c r="C1" t="s">
        <v>85</v>
      </c>
    </row>
    <row r="2" spans="1:3" x14ac:dyDescent="0.3">
      <c r="A2" t="s">
        <v>68</v>
      </c>
      <c r="B2" t="s">
        <v>6</v>
      </c>
      <c r="C2">
        <v>2727.05</v>
      </c>
    </row>
    <row r="3" spans="1:3" x14ac:dyDescent="0.3">
      <c r="A3" t="s">
        <v>68</v>
      </c>
      <c r="B3" t="s">
        <v>5</v>
      </c>
      <c r="C3">
        <v>567.73</v>
      </c>
    </row>
    <row r="4" spans="1:3" x14ac:dyDescent="0.3">
      <c r="A4" t="s">
        <v>68</v>
      </c>
      <c r="B4" t="s">
        <v>72</v>
      </c>
      <c r="C4">
        <v>2046.53</v>
      </c>
    </row>
    <row r="5" spans="1:3" x14ac:dyDescent="0.3">
      <c r="A5" t="s">
        <v>68</v>
      </c>
      <c r="B5" t="s">
        <v>11</v>
      </c>
      <c r="C5">
        <v>25.24</v>
      </c>
    </row>
    <row r="6" spans="1:3" x14ac:dyDescent="0.3">
      <c r="A6" t="s">
        <v>68</v>
      </c>
      <c r="B6" t="s">
        <v>0</v>
      </c>
      <c r="C6">
        <v>432.51000000000005</v>
      </c>
    </row>
    <row r="7" spans="1:3" x14ac:dyDescent="0.3">
      <c r="A7" t="s">
        <v>68</v>
      </c>
      <c r="B7" t="s">
        <v>10</v>
      </c>
      <c r="C7">
        <v>35798.770000000004</v>
      </c>
    </row>
    <row r="8" spans="1:3" x14ac:dyDescent="0.3">
      <c r="A8" t="s">
        <v>68</v>
      </c>
      <c r="B8" t="s">
        <v>83</v>
      </c>
      <c r="C8">
        <v>668.2</v>
      </c>
    </row>
    <row r="9" spans="1:3" x14ac:dyDescent="0.3">
      <c r="A9" t="s">
        <v>68</v>
      </c>
      <c r="B9" t="s">
        <v>3</v>
      </c>
      <c r="C9">
        <v>293.12</v>
      </c>
    </row>
    <row r="10" spans="1:3" x14ac:dyDescent="0.3">
      <c r="A10" t="s">
        <v>68</v>
      </c>
      <c r="B10" t="s">
        <v>79</v>
      </c>
      <c r="C10">
        <v>74.28</v>
      </c>
    </row>
    <row r="11" spans="1:3" x14ac:dyDescent="0.3">
      <c r="A11" t="s">
        <v>68</v>
      </c>
      <c r="B11" t="s">
        <v>8</v>
      </c>
      <c r="C11">
        <v>13.34</v>
      </c>
    </row>
    <row r="12" spans="1:3" x14ac:dyDescent="0.3">
      <c r="A12" t="s">
        <v>68</v>
      </c>
      <c r="B12" t="s">
        <v>2</v>
      </c>
      <c r="C12">
        <v>4331.43</v>
      </c>
    </row>
    <row r="13" spans="1:3" x14ac:dyDescent="0.3">
      <c r="A13" t="s">
        <v>68</v>
      </c>
      <c r="B13" t="s">
        <v>7</v>
      </c>
      <c r="C13">
        <v>401.89</v>
      </c>
    </row>
    <row r="14" spans="1:3" x14ac:dyDescent="0.3">
      <c r="A14" t="s">
        <v>68</v>
      </c>
      <c r="B14" t="s">
        <v>78</v>
      </c>
      <c r="C14">
        <v>42360.28</v>
      </c>
    </row>
    <row r="15" spans="1:3" x14ac:dyDescent="0.3">
      <c r="A15" t="s">
        <v>68</v>
      </c>
      <c r="B15" t="s">
        <v>1</v>
      </c>
      <c r="C15">
        <v>2570.4199999999996</v>
      </c>
    </row>
    <row r="16" spans="1:3" x14ac:dyDescent="0.3">
      <c r="A16" t="s">
        <v>68</v>
      </c>
      <c r="B16" t="s">
        <v>4</v>
      </c>
      <c r="C16">
        <v>2215.16</v>
      </c>
    </row>
    <row r="17" spans="1:3" x14ac:dyDescent="0.3">
      <c r="A17" t="s">
        <v>68</v>
      </c>
      <c r="B17" t="s">
        <v>84</v>
      </c>
      <c r="C17">
        <v>2962.44</v>
      </c>
    </row>
    <row r="18" spans="1:3" x14ac:dyDescent="0.3">
      <c r="A18" t="s">
        <v>68</v>
      </c>
      <c r="B18" t="s">
        <v>9</v>
      </c>
      <c r="C18">
        <v>6675.24</v>
      </c>
    </row>
    <row r="19" spans="1:3" x14ac:dyDescent="0.3">
      <c r="A19" t="s">
        <v>68</v>
      </c>
      <c r="B19" t="s">
        <v>62</v>
      </c>
      <c r="C19">
        <v>16865.419999999998</v>
      </c>
    </row>
    <row r="20" spans="1:3" x14ac:dyDescent="0.3">
      <c r="A20" t="s">
        <v>12</v>
      </c>
      <c r="B20" t="s">
        <v>12</v>
      </c>
      <c r="C20">
        <v>3975.25</v>
      </c>
    </row>
    <row r="21" spans="1:3" x14ac:dyDescent="0.3">
      <c r="A21" t="s">
        <v>12</v>
      </c>
      <c r="B21" t="s">
        <v>15</v>
      </c>
      <c r="C21">
        <v>1721.99</v>
      </c>
    </row>
    <row r="22" spans="1:3" x14ac:dyDescent="0.3">
      <c r="A22" t="s">
        <v>12</v>
      </c>
      <c r="B22" t="s">
        <v>13</v>
      </c>
      <c r="C22">
        <v>2453.77</v>
      </c>
    </row>
    <row r="23" spans="1:3" x14ac:dyDescent="0.3">
      <c r="A23" t="s">
        <v>12</v>
      </c>
      <c r="B23" t="s">
        <v>23</v>
      </c>
      <c r="C23">
        <v>13541.89</v>
      </c>
    </row>
    <row r="24" spans="1:3" x14ac:dyDescent="0.3">
      <c r="A24" t="s">
        <v>12</v>
      </c>
      <c r="B24" t="s">
        <v>22</v>
      </c>
      <c r="C24">
        <v>19287.730000000003</v>
      </c>
    </row>
    <row r="25" spans="1:3" x14ac:dyDescent="0.3">
      <c r="A25" t="s">
        <v>12</v>
      </c>
      <c r="B25" t="s">
        <v>16</v>
      </c>
      <c r="C25">
        <v>1335.16</v>
      </c>
    </row>
    <row r="26" spans="1:3" x14ac:dyDescent="0.3">
      <c r="A26" t="s">
        <v>12</v>
      </c>
      <c r="B26" t="s">
        <v>18</v>
      </c>
      <c r="C26">
        <v>125.31</v>
      </c>
    </row>
    <row r="27" spans="1:3" x14ac:dyDescent="0.3">
      <c r="A27" t="s">
        <v>12</v>
      </c>
      <c r="B27" t="s">
        <v>17</v>
      </c>
      <c r="C27">
        <v>26.38</v>
      </c>
    </row>
    <row r="28" spans="1:3" x14ac:dyDescent="0.3">
      <c r="A28" t="s">
        <v>12</v>
      </c>
      <c r="B28" t="s">
        <v>64</v>
      </c>
      <c r="C28">
        <v>862.95</v>
      </c>
    </row>
    <row r="29" spans="1:3" x14ac:dyDescent="0.3">
      <c r="A29" t="s">
        <v>12</v>
      </c>
      <c r="B29" t="s">
        <v>74</v>
      </c>
      <c r="C29">
        <v>1892.78</v>
      </c>
    </row>
    <row r="30" spans="1:3" x14ac:dyDescent="0.3">
      <c r="A30" t="s">
        <v>12</v>
      </c>
      <c r="B30" t="s">
        <v>19</v>
      </c>
      <c r="C30">
        <v>53558.279999999992</v>
      </c>
    </row>
    <row r="31" spans="1:3" x14ac:dyDescent="0.3">
      <c r="A31" t="s">
        <v>12</v>
      </c>
      <c r="B31" t="s">
        <v>80</v>
      </c>
      <c r="C31">
        <v>32379.22</v>
      </c>
    </row>
    <row r="32" spans="1:3" x14ac:dyDescent="0.3">
      <c r="A32" t="s">
        <v>12</v>
      </c>
      <c r="B32" t="s">
        <v>73</v>
      </c>
      <c r="C32">
        <v>7994.83</v>
      </c>
    </row>
    <row r="33" spans="1:3" x14ac:dyDescent="0.3">
      <c r="A33" t="s">
        <v>12</v>
      </c>
      <c r="B33" t="s">
        <v>21</v>
      </c>
      <c r="C33">
        <v>26416.69</v>
      </c>
    </row>
    <row r="34" spans="1:3" x14ac:dyDescent="0.3">
      <c r="A34" t="s">
        <v>12</v>
      </c>
      <c r="B34" t="s">
        <v>20</v>
      </c>
      <c r="C34">
        <v>1876.06</v>
      </c>
    </row>
    <row r="35" spans="1:3" x14ac:dyDescent="0.3">
      <c r="A35" t="s">
        <v>24</v>
      </c>
      <c r="B35" s="3" t="s">
        <v>26</v>
      </c>
      <c r="C35">
        <v>1075.57</v>
      </c>
    </row>
    <row r="36" spans="1:3" x14ac:dyDescent="0.3">
      <c r="A36" t="s">
        <v>24</v>
      </c>
      <c r="B36" s="3" t="s">
        <v>24</v>
      </c>
      <c r="C36">
        <v>8905.4599999999991</v>
      </c>
    </row>
    <row r="37" spans="1:3" x14ac:dyDescent="0.3">
      <c r="A37" t="s">
        <v>24</v>
      </c>
      <c r="B37" s="3" t="s">
        <v>28</v>
      </c>
      <c r="C37">
        <v>9861.2999999999993</v>
      </c>
    </row>
    <row r="38" spans="1:3" x14ac:dyDescent="0.3">
      <c r="A38" t="s">
        <v>24</v>
      </c>
      <c r="B38" s="3" t="s">
        <v>69</v>
      </c>
      <c r="C38">
        <v>5486.22</v>
      </c>
    </row>
    <row r="39" spans="1:3" x14ac:dyDescent="0.3">
      <c r="A39" t="s">
        <v>24</v>
      </c>
      <c r="B39" s="3" t="s">
        <v>81</v>
      </c>
      <c r="C39">
        <v>1301.04</v>
      </c>
    </row>
    <row r="40" spans="1:3" x14ac:dyDescent="0.3">
      <c r="A40" t="s">
        <v>24</v>
      </c>
      <c r="B40" s="3" t="s">
        <v>27</v>
      </c>
      <c r="C40">
        <v>13676.720000000001</v>
      </c>
    </row>
    <row r="41" spans="1:3" x14ac:dyDescent="0.3">
      <c r="A41" t="s">
        <v>24</v>
      </c>
      <c r="B41" s="3" t="s">
        <v>75</v>
      </c>
      <c r="C41">
        <v>30874.84</v>
      </c>
    </row>
    <row r="42" spans="1:3" x14ac:dyDescent="0.3">
      <c r="A42" t="s">
        <v>24</v>
      </c>
      <c r="B42" s="3" t="s">
        <v>25</v>
      </c>
      <c r="C42">
        <v>69341.239999999991</v>
      </c>
    </row>
    <row r="43" spans="1:3" x14ac:dyDescent="0.3">
      <c r="A43" t="s">
        <v>29</v>
      </c>
      <c r="B43" s="3" t="s">
        <v>30</v>
      </c>
      <c r="C43">
        <v>1176.25</v>
      </c>
    </row>
    <row r="44" spans="1:3" x14ac:dyDescent="0.3">
      <c r="A44" t="s">
        <v>29</v>
      </c>
      <c r="B44" s="3" t="s">
        <v>29</v>
      </c>
      <c r="C44">
        <v>24013.75</v>
      </c>
    </row>
    <row r="45" spans="1:3" x14ac:dyDescent="0.3">
      <c r="A45" t="s">
        <v>29</v>
      </c>
      <c r="B45" s="3" t="s">
        <v>33</v>
      </c>
      <c r="C45">
        <v>280.24</v>
      </c>
    </row>
    <row r="46" spans="1:3" x14ac:dyDescent="0.3">
      <c r="A46" t="s">
        <v>29</v>
      </c>
      <c r="B46" s="3" t="s">
        <v>32</v>
      </c>
      <c r="C46">
        <v>805.04</v>
      </c>
    </row>
    <row r="47" spans="1:3" x14ac:dyDescent="0.3">
      <c r="A47" t="s">
        <v>29</v>
      </c>
      <c r="B47" s="3" t="s">
        <v>65</v>
      </c>
      <c r="C47">
        <v>935.26</v>
      </c>
    </row>
    <row r="48" spans="1:3" x14ac:dyDescent="0.3">
      <c r="A48" t="s">
        <v>29</v>
      </c>
      <c r="B48" s="3" t="s">
        <v>76</v>
      </c>
      <c r="C48">
        <v>86271.739999999991</v>
      </c>
    </row>
    <row r="49" spans="1:3" x14ac:dyDescent="0.3">
      <c r="A49" t="s">
        <v>36</v>
      </c>
      <c r="B49" t="s">
        <v>43</v>
      </c>
      <c r="C49">
        <v>4374.01</v>
      </c>
    </row>
    <row r="50" spans="1:3" x14ac:dyDescent="0.3">
      <c r="A50" t="s">
        <v>36</v>
      </c>
      <c r="B50" t="s">
        <v>40</v>
      </c>
      <c r="C50">
        <v>28907.260000000002</v>
      </c>
    </row>
    <row r="51" spans="1:3" x14ac:dyDescent="0.3">
      <c r="A51" t="s">
        <v>36</v>
      </c>
      <c r="B51" t="s">
        <v>42</v>
      </c>
      <c r="C51">
        <v>3665.04</v>
      </c>
    </row>
    <row r="52" spans="1:3" x14ac:dyDescent="0.3">
      <c r="A52" t="s">
        <v>36</v>
      </c>
      <c r="B52" t="s">
        <v>41</v>
      </c>
      <c r="C52">
        <v>2068.77</v>
      </c>
    </row>
    <row r="53" spans="1:3" x14ac:dyDescent="0.3">
      <c r="A53" t="s">
        <v>36</v>
      </c>
      <c r="B53" t="s">
        <v>46</v>
      </c>
      <c r="C53">
        <v>933.37</v>
      </c>
    </row>
    <row r="54" spans="1:3" x14ac:dyDescent="0.3">
      <c r="A54" t="s">
        <v>36</v>
      </c>
      <c r="B54" t="s">
        <v>45</v>
      </c>
      <c r="C54">
        <v>71896.53</v>
      </c>
    </row>
    <row r="55" spans="1:3" x14ac:dyDescent="0.3">
      <c r="A55" t="s">
        <v>36</v>
      </c>
      <c r="B55" t="s">
        <v>37</v>
      </c>
      <c r="C55">
        <v>19316.16</v>
      </c>
    </row>
    <row r="56" spans="1:3" x14ac:dyDescent="0.3">
      <c r="A56" t="s">
        <v>36</v>
      </c>
      <c r="B56" t="s">
        <v>44</v>
      </c>
      <c r="C56">
        <v>371.18</v>
      </c>
    </row>
    <row r="57" spans="1:3" x14ac:dyDescent="0.3">
      <c r="A57" t="s">
        <v>36</v>
      </c>
      <c r="B57" t="s">
        <v>38</v>
      </c>
      <c r="C57">
        <v>7921.24</v>
      </c>
    </row>
    <row r="58" spans="1:3" x14ac:dyDescent="0.3">
      <c r="A58" t="s">
        <v>36</v>
      </c>
      <c r="B58" t="s">
        <v>39</v>
      </c>
      <c r="C58">
        <v>7084.0400000000009</v>
      </c>
    </row>
    <row r="59" spans="1:3" x14ac:dyDescent="0.3">
      <c r="A59" t="s">
        <v>36</v>
      </c>
      <c r="B59" t="s">
        <v>66</v>
      </c>
      <c r="C59">
        <v>8231.8599999999988</v>
      </c>
    </row>
    <row r="60" spans="1:3" x14ac:dyDescent="0.3">
      <c r="A60" t="s">
        <v>47</v>
      </c>
      <c r="B60" s="3" t="s">
        <v>49</v>
      </c>
      <c r="C60">
        <v>18482.84</v>
      </c>
    </row>
    <row r="61" spans="1:3" x14ac:dyDescent="0.3">
      <c r="A61" t="s">
        <v>47</v>
      </c>
      <c r="B61" s="3" t="s">
        <v>54</v>
      </c>
      <c r="C61">
        <v>28545.89</v>
      </c>
    </row>
    <row r="62" spans="1:3" x14ac:dyDescent="0.3">
      <c r="A62" t="s">
        <v>47</v>
      </c>
      <c r="B62" s="3" t="s">
        <v>48</v>
      </c>
      <c r="C62">
        <v>2497.73</v>
      </c>
    </row>
    <row r="63" spans="1:3" x14ac:dyDescent="0.3">
      <c r="A63" t="s">
        <v>47</v>
      </c>
      <c r="B63" s="3" t="s">
        <v>57</v>
      </c>
      <c r="C63">
        <v>3365.05</v>
      </c>
    </row>
    <row r="64" spans="1:3" x14ac:dyDescent="0.3">
      <c r="A64" t="s">
        <v>47</v>
      </c>
      <c r="B64" s="3" t="s">
        <v>53</v>
      </c>
      <c r="C64">
        <v>16566.22</v>
      </c>
    </row>
    <row r="65" spans="1:3" x14ac:dyDescent="0.3">
      <c r="A65" t="s">
        <v>47</v>
      </c>
      <c r="B65" s="3" t="s">
        <v>50</v>
      </c>
      <c r="C65">
        <v>2735.88</v>
      </c>
    </row>
    <row r="66" spans="1:3" x14ac:dyDescent="0.3">
      <c r="A66" t="s">
        <v>47</v>
      </c>
      <c r="B66" s="3" t="s">
        <v>58</v>
      </c>
      <c r="C66">
        <v>816.79000000000008</v>
      </c>
    </row>
    <row r="67" spans="1:3" x14ac:dyDescent="0.3">
      <c r="A67" t="s">
        <v>47</v>
      </c>
      <c r="B67" s="3" t="s">
        <v>51</v>
      </c>
      <c r="C67">
        <v>80909.94</v>
      </c>
    </row>
    <row r="68" spans="1:3" x14ac:dyDescent="0.3">
      <c r="A68" t="s">
        <v>47</v>
      </c>
      <c r="B68" s="3" t="s">
        <v>55</v>
      </c>
      <c r="C68">
        <v>853.15</v>
      </c>
    </row>
    <row r="69" spans="1:3" x14ac:dyDescent="0.3">
      <c r="A69" t="s">
        <v>47</v>
      </c>
      <c r="B69" s="3" t="s">
        <v>71</v>
      </c>
      <c r="C69">
        <v>51374.539999999994</v>
      </c>
    </row>
    <row r="70" spans="1:3" x14ac:dyDescent="0.3">
      <c r="A70" t="s">
        <v>47</v>
      </c>
      <c r="B70" s="3" t="s">
        <v>47</v>
      </c>
      <c r="C70">
        <v>30496.67</v>
      </c>
    </row>
    <row r="71" spans="1:3" x14ac:dyDescent="0.3">
      <c r="A71" t="s">
        <v>47</v>
      </c>
      <c r="B71" s="3" t="s">
        <v>52</v>
      </c>
      <c r="C71">
        <v>2556.3000000000002</v>
      </c>
    </row>
    <row r="72" spans="1:3" x14ac:dyDescent="0.3">
      <c r="A72" t="s">
        <v>82</v>
      </c>
      <c r="B72" s="3" t="s">
        <v>67</v>
      </c>
      <c r="C72">
        <v>10736.69</v>
      </c>
    </row>
    <row r="73" spans="1:3" x14ac:dyDescent="0.3">
      <c r="A73" t="s">
        <v>82</v>
      </c>
      <c r="B73" s="3" t="s">
        <v>82</v>
      </c>
      <c r="C73">
        <v>53220.65</v>
      </c>
    </row>
    <row r="74" spans="1:3" x14ac:dyDescent="0.3">
      <c r="A74" t="s">
        <v>82</v>
      </c>
      <c r="B74" s="3" t="s">
        <v>61</v>
      </c>
      <c r="C74">
        <v>5582.56</v>
      </c>
    </row>
    <row r="75" spans="1:3" x14ac:dyDescent="0.3">
      <c r="A75" t="s">
        <v>82</v>
      </c>
      <c r="B75" s="3" t="s">
        <v>77</v>
      </c>
      <c r="C75">
        <v>110379.53</v>
      </c>
    </row>
    <row r="76" spans="1:3" x14ac:dyDescent="0.3">
      <c r="A76" t="s">
        <v>82</v>
      </c>
      <c r="B76" s="3" t="s">
        <v>59</v>
      </c>
      <c r="C76">
        <v>12609.869999999999</v>
      </c>
    </row>
    <row r="77" spans="1:3" x14ac:dyDescent="0.3">
      <c r="A77" t="s">
        <v>82</v>
      </c>
      <c r="B77" s="3" t="s">
        <v>60</v>
      </c>
      <c r="C77">
        <v>164512.25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8FA8-344B-41E5-B286-3B092E200128}">
  <dimension ref="A1:E85"/>
  <sheetViews>
    <sheetView tabSelected="1" workbookViewId="0">
      <selection activeCell="C31" sqref="C31"/>
    </sheetView>
  </sheetViews>
  <sheetFormatPr defaultRowHeight="14.4" x14ac:dyDescent="0.3"/>
  <cols>
    <col min="1" max="1" width="10.77734375" bestFit="1" customWidth="1"/>
    <col min="2" max="2" width="18.44140625" bestFit="1" customWidth="1"/>
    <col min="3" max="3" width="11.88671875" bestFit="1" customWidth="1"/>
    <col min="4" max="4" width="16" bestFit="1" customWidth="1"/>
    <col min="5" max="5" width="10.5546875" bestFit="1" customWidth="1"/>
  </cols>
  <sheetData>
    <row r="1" spans="1:5" x14ac:dyDescent="0.3">
      <c r="A1" t="s">
        <v>86</v>
      </c>
      <c r="B1" t="s">
        <v>87</v>
      </c>
      <c r="C1" t="s">
        <v>88</v>
      </c>
      <c r="D1" t="s">
        <v>85</v>
      </c>
      <c r="E1" t="s">
        <v>89</v>
      </c>
    </row>
    <row r="2" spans="1:5" x14ac:dyDescent="0.3">
      <c r="A2" t="s">
        <v>68</v>
      </c>
      <c r="B2" t="s">
        <v>68</v>
      </c>
      <c r="C2" s="2">
        <v>4462.4280543613704</v>
      </c>
      <c r="D2">
        <f>_xlfn.XLOOKUP(B2,Table1[Canton],Table1[Area_protegida_ha],0)</f>
        <v>0</v>
      </c>
      <c r="E2" s="4">
        <f>(D2/C2)*100</f>
        <v>0</v>
      </c>
    </row>
    <row r="3" spans="1:5" x14ac:dyDescent="0.3">
      <c r="A3" t="s">
        <v>68</v>
      </c>
      <c r="B3" t="s">
        <v>83</v>
      </c>
      <c r="C3" s="2">
        <v>3453.4795507031049</v>
      </c>
      <c r="D3">
        <f>_xlfn.XLOOKUP(B3,Table1[Canton],Table1[Area_protegida_ha],0)</f>
        <v>668.2</v>
      </c>
      <c r="E3" s="4">
        <f t="shared" ref="E3:E66" si="0">(D3/C3)*100</f>
        <v>19.348601611495255</v>
      </c>
    </row>
    <row r="4" spans="1:5" x14ac:dyDescent="0.3">
      <c r="A4" t="s">
        <v>68</v>
      </c>
      <c r="B4" t="s">
        <v>0</v>
      </c>
      <c r="C4" s="2">
        <v>11891.49750607289</v>
      </c>
      <c r="D4">
        <f>_xlfn.XLOOKUP(B4,Table1[Canton],Table1[Area_protegida_ha],0)</f>
        <v>432.51000000000005</v>
      </c>
      <c r="E4" s="4">
        <f t="shared" si="0"/>
        <v>3.6371365320399787</v>
      </c>
    </row>
    <row r="5" spans="1:5" x14ac:dyDescent="0.3">
      <c r="A5" t="s">
        <v>68</v>
      </c>
      <c r="B5" t="s">
        <v>1</v>
      </c>
      <c r="C5" s="2">
        <v>55502.26751808593</v>
      </c>
      <c r="D5">
        <f>_xlfn.XLOOKUP(B5,Table1[Canton],Table1[Area_protegida_ha],0)</f>
        <v>2570.4199999999996</v>
      </c>
      <c r="E5" s="4">
        <f t="shared" si="0"/>
        <v>4.6311981743131563</v>
      </c>
    </row>
    <row r="6" spans="1:5" x14ac:dyDescent="0.3">
      <c r="A6" t="s">
        <v>68</v>
      </c>
      <c r="B6" t="s">
        <v>84</v>
      </c>
      <c r="C6" s="2">
        <v>29126.763909642679</v>
      </c>
      <c r="D6">
        <f>_xlfn.XLOOKUP(B6,Table1[Canton],Table1[Area_protegida_ha],0)</f>
        <v>2962.44</v>
      </c>
      <c r="E6" s="4">
        <f t="shared" si="0"/>
        <v>10.170851829575401</v>
      </c>
    </row>
    <row r="7" spans="1:5" x14ac:dyDescent="0.3">
      <c r="A7" t="s">
        <v>68</v>
      </c>
      <c r="B7" t="s">
        <v>72</v>
      </c>
      <c r="C7" s="2">
        <v>16825.912338260721</v>
      </c>
      <c r="D7">
        <f>_xlfn.XLOOKUP(B7,Table1[Canton],Table1[Area_protegida_ha],0)</f>
        <v>2046.53</v>
      </c>
      <c r="E7" s="4">
        <f t="shared" si="0"/>
        <v>12.162966018468795</v>
      </c>
    </row>
    <row r="8" spans="1:5" x14ac:dyDescent="0.3">
      <c r="A8" t="s">
        <v>68</v>
      </c>
      <c r="B8" t="s">
        <v>2</v>
      </c>
      <c r="C8" s="2">
        <v>16346.65454935866</v>
      </c>
      <c r="D8">
        <f>_xlfn.XLOOKUP(B8,Table1[Canton],Table1[Area_protegida_ha],0)</f>
        <v>4331.43</v>
      </c>
      <c r="E8" s="4">
        <f t="shared" si="0"/>
        <v>26.497348352968885</v>
      </c>
    </row>
    <row r="9" spans="1:5" x14ac:dyDescent="0.3">
      <c r="A9" t="s">
        <v>68</v>
      </c>
      <c r="B9" t="s">
        <v>3</v>
      </c>
      <c r="C9" s="2">
        <v>3169.5987666946749</v>
      </c>
      <c r="D9">
        <f>_xlfn.XLOOKUP(B9,Table1[Canton],Table1[Area_protegida_ha],0)</f>
        <v>293.12</v>
      </c>
      <c r="E9" s="4">
        <f t="shared" si="0"/>
        <v>9.247858217261733</v>
      </c>
    </row>
    <row r="10" spans="1:5" x14ac:dyDescent="0.3">
      <c r="A10" t="s">
        <v>68</v>
      </c>
      <c r="B10" t="s">
        <v>4</v>
      </c>
      <c r="C10" s="2">
        <v>6141.7554783774895</v>
      </c>
      <c r="D10">
        <f>_xlfn.XLOOKUP(B10,Table1[Canton],Table1[Area_protegida_ha],0)</f>
        <v>2215.16</v>
      </c>
      <c r="E10" s="4">
        <f t="shared" si="0"/>
        <v>36.067212506239244</v>
      </c>
    </row>
    <row r="11" spans="1:5" x14ac:dyDescent="0.3">
      <c r="A11" t="s">
        <v>68</v>
      </c>
      <c r="B11" t="s">
        <v>5</v>
      </c>
      <c r="C11" s="2">
        <v>2146.5270610080452</v>
      </c>
      <c r="D11">
        <f>_xlfn.XLOOKUP(B11,Table1[Canton],Table1[Area_protegida_ha],0)</f>
        <v>567.73</v>
      </c>
      <c r="E11" s="4">
        <f t="shared" si="0"/>
        <v>26.448769750584205</v>
      </c>
    </row>
    <row r="12" spans="1:5" x14ac:dyDescent="0.3">
      <c r="A12" t="s">
        <v>68</v>
      </c>
      <c r="B12" t="s">
        <v>62</v>
      </c>
      <c r="C12" s="2">
        <v>22392.610831713992</v>
      </c>
      <c r="D12">
        <f>_xlfn.XLOOKUP(B12,Table1[Canton],Table1[Area_protegida_ha],0)</f>
        <v>16865.419999999998</v>
      </c>
      <c r="E12" s="4">
        <f t="shared" si="0"/>
        <v>75.316898626729142</v>
      </c>
    </row>
    <row r="13" spans="1:5" x14ac:dyDescent="0.3">
      <c r="A13" t="s">
        <v>68</v>
      </c>
      <c r="B13" t="s">
        <v>6</v>
      </c>
      <c r="C13" s="2">
        <v>34256.144929019909</v>
      </c>
      <c r="D13">
        <f>_xlfn.XLOOKUP(B13,Table1[Canton],Table1[Area_protegida_ha],0)</f>
        <v>2727.05</v>
      </c>
      <c r="E13" s="4">
        <f t="shared" si="0"/>
        <v>7.9607615090680985</v>
      </c>
    </row>
    <row r="14" spans="1:5" x14ac:dyDescent="0.3">
      <c r="A14" t="s">
        <v>68</v>
      </c>
      <c r="B14" t="s">
        <v>63</v>
      </c>
      <c r="C14" s="2">
        <v>826.94200947101501</v>
      </c>
      <c r="D14">
        <f>_xlfn.XLOOKUP(B14,Table1[Canton],Table1[Area_protegida_ha],0)</f>
        <v>0</v>
      </c>
      <c r="E14" s="4">
        <f t="shared" si="0"/>
        <v>0</v>
      </c>
    </row>
    <row r="15" spans="1:5" x14ac:dyDescent="0.3">
      <c r="A15" t="s">
        <v>68</v>
      </c>
      <c r="B15" t="s">
        <v>7</v>
      </c>
      <c r="C15" s="2">
        <v>2882.44796778209</v>
      </c>
      <c r="D15">
        <f>_xlfn.XLOOKUP(B15,Table1[Canton],Table1[Area_protegida_ha],0)</f>
        <v>401.89</v>
      </c>
      <c r="E15" s="4">
        <f t="shared" si="0"/>
        <v>13.942662781498036</v>
      </c>
    </row>
    <row r="16" spans="1:5" x14ac:dyDescent="0.3">
      <c r="A16" t="s">
        <v>68</v>
      </c>
      <c r="B16" t="s">
        <v>8</v>
      </c>
      <c r="C16" s="2">
        <v>1577.6202262050069</v>
      </c>
      <c r="D16">
        <f>_xlfn.XLOOKUP(B16,Table1[Canton],Table1[Area_protegida_ha],0)</f>
        <v>13.34</v>
      </c>
      <c r="E16" s="4">
        <f t="shared" si="0"/>
        <v>0.84557739425600553</v>
      </c>
    </row>
    <row r="17" spans="1:5" x14ac:dyDescent="0.3">
      <c r="A17" t="s">
        <v>68</v>
      </c>
      <c r="B17" t="s">
        <v>9</v>
      </c>
      <c r="C17" s="2">
        <v>41624.803139273034</v>
      </c>
      <c r="D17">
        <f>_xlfn.XLOOKUP(B17,Table1[Canton],Table1[Area_protegida_ha],0)</f>
        <v>6675.24</v>
      </c>
      <c r="E17" s="4">
        <f t="shared" si="0"/>
        <v>16.036688456315858</v>
      </c>
    </row>
    <row r="18" spans="1:5" x14ac:dyDescent="0.3">
      <c r="A18" t="s">
        <v>68</v>
      </c>
      <c r="B18" t="s">
        <v>10</v>
      </c>
      <c r="C18" s="2">
        <v>40444.367659517688</v>
      </c>
      <c r="D18">
        <f>_xlfn.XLOOKUP(B18,Table1[Canton],Table1[Area_protegida_ha],0)</f>
        <v>35798.770000000004</v>
      </c>
      <c r="E18" s="4">
        <f t="shared" si="0"/>
        <v>88.513610353296144</v>
      </c>
    </row>
    <row r="19" spans="1:5" x14ac:dyDescent="0.3">
      <c r="A19" t="s">
        <v>68</v>
      </c>
      <c r="B19" t="s">
        <v>11</v>
      </c>
      <c r="C19" s="2">
        <v>1606.260415864338</v>
      </c>
      <c r="D19">
        <f>_xlfn.XLOOKUP(B19,Table1[Canton],Table1[Area_protegida_ha],0)</f>
        <v>25.24</v>
      </c>
      <c r="E19" s="4">
        <f t="shared" si="0"/>
        <v>1.5713516781410697</v>
      </c>
    </row>
    <row r="20" spans="1:5" x14ac:dyDescent="0.3">
      <c r="A20" t="s">
        <v>68</v>
      </c>
      <c r="B20" t="s">
        <v>78</v>
      </c>
      <c r="C20" s="2">
        <v>190108.2201448589</v>
      </c>
      <c r="D20">
        <f>_xlfn.XLOOKUP(B20,Table1[Canton],Table1[Area_protegida_ha],0)</f>
        <v>42360.28</v>
      </c>
      <c r="E20" s="4">
        <f t="shared" si="0"/>
        <v>22.282192725660288</v>
      </c>
    </row>
    <row r="21" spans="1:5" x14ac:dyDescent="0.3">
      <c r="A21" t="s">
        <v>68</v>
      </c>
      <c r="B21" t="s">
        <v>79</v>
      </c>
      <c r="C21" s="2">
        <v>12189.457278857109</v>
      </c>
      <c r="D21">
        <f>_xlfn.XLOOKUP(B21,Table1[Canton],Table1[Area_protegida_ha],0)</f>
        <v>74.28</v>
      </c>
      <c r="E21" s="4">
        <f t="shared" si="0"/>
        <v>0.60937905848228657</v>
      </c>
    </row>
    <row r="22" spans="1:5" x14ac:dyDescent="0.3">
      <c r="A22" t="s">
        <v>12</v>
      </c>
      <c r="B22" t="s">
        <v>12</v>
      </c>
      <c r="C22" s="2">
        <v>39162.276793957062</v>
      </c>
      <c r="D22">
        <f>_xlfn.XLOOKUP(B22,Table1[Canton],Table1[Area_protegida_ha],0)</f>
        <v>3975.25</v>
      </c>
      <c r="E22" s="4">
        <f t="shared" si="0"/>
        <v>10.150712178750039</v>
      </c>
    </row>
    <row r="23" spans="1:5" x14ac:dyDescent="0.3">
      <c r="A23" t="s">
        <v>12</v>
      </c>
      <c r="B23" t="s">
        <v>80</v>
      </c>
      <c r="C23" s="2">
        <v>102173.5751204033</v>
      </c>
      <c r="D23">
        <f>_xlfn.XLOOKUP(B23,Table1[Canton],Table1[Area_protegida_ha],0)</f>
        <v>32379.22</v>
      </c>
      <c r="E23" s="4">
        <f t="shared" si="0"/>
        <v>31.690405236230312</v>
      </c>
    </row>
    <row r="24" spans="1:5" x14ac:dyDescent="0.3">
      <c r="A24" t="s">
        <v>12</v>
      </c>
      <c r="B24" t="s">
        <v>13</v>
      </c>
      <c r="C24" s="2">
        <v>14246.71318307778</v>
      </c>
      <c r="D24">
        <f>_xlfn.XLOOKUP(B24,Table1[Canton],Table1[Area_protegida_ha],0)</f>
        <v>2453.77</v>
      </c>
      <c r="E24" s="4">
        <f t="shared" si="0"/>
        <v>17.223411242072196</v>
      </c>
    </row>
    <row r="25" spans="1:5" x14ac:dyDescent="0.3">
      <c r="A25" t="s">
        <v>12</v>
      </c>
      <c r="B25" t="s">
        <v>14</v>
      </c>
      <c r="C25" s="2">
        <v>12502.97399402466</v>
      </c>
      <c r="D25">
        <f>_xlfn.XLOOKUP(B25,Table1[Canton],Table1[Area_protegida_ha],0)</f>
        <v>0</v>
      </c>
      <c r="E25" s="4">
        <f t="shared" si="0"/>
        <v>0</v>
      </c>
    </row>
    <row r="26" spans="1:5" x14ac:dyDescent="0.3">
      <c r="A26" t="s">
        <v>12</v>
      </c>
      <c r="B26" t="s">
        <v>15</v>
      </c>
      <c r="C26" s="2">
        <v>12631.062539054919</v>
      </c>
      <c r="D26">
        <f>_xlfn.XLOOKUP(B26,Table1[Canton],Table1[Area_protegida_ha],0)</f>
        <v>1721.99</v>
      </c>
      <c r="E26" s="4">
        <f t="shared" si="0"/>
        <v>13.632978181175584</v>
      </c>
    </row>
    <row r="27" spans="1:5" x14ac:dyDescent="0.3">
      <c r="A27" t="s">
        <v>12</v>
      </c>
      <c r="B27" t="s">
        <v>16</v>
      </c>
      <c r="C27" s="2">
        <v>12701.46272013859</v>
      </c>
      <c r="D27">
        <f>_xlfn.XLOOKUP(B27,Table1[Canton],Table1[Area_protegida_ha],0)</f>
        <v>1335.16</v>
      </c>
      <c r="E27" s="4">
        <f t="shared" si="0"/>
        <v>10.511860164601828</v>
      </c>
    </row>
    <row r="28" spans="1:5" x14ac:dyDescent="0.3">
      <c r="A28" t="s">
        <v>12</v>
      </c>
      <c r="B28" t="s">
        <v>17</v>
      </c>
      <c r="C28" s="2">
        <v>3893.60738520927</v>
      </c>
      <c r="D28">
        <f>_xlfn.XLOOKUP(B28,Table1[Canton],Table1[Area_protegida_ha],0)</f>
        <v>26.38</v>
      </c>
      <c r="E28" s="4">
        <f t="shared" si="0"/>
        <v>0.67752080243658541</v>
      </c>
    </row>
    <row r="29" spans="1:5" x14ac:dyDescent="0.3">
      <c r="A29" t="s">
        <v>12</v>
      </c>
      <c r="B29" t="s">
        <v>64</v>
      </c>
      <c r="C29" s="2">
        <v>7448.1574520442264</v>
      </c>
      <c r="D29">
        <f>_xlfn.XLOOKUP(B29,Table1[Canton],Table1[Area_protegida_ha],0)</f>
        <v>862.95</v>
      </c>
      <c r="E29" s="4">
        <f t="shared" si="0"/>
        <v>11.586086969243034</v>
      </c>
    </row>
    <row r="30" spans="1:5" x14ac:dyDescent="0.3">
      <c r="A30" t="s">
        <v>12</v>
      </c>
      <c r="B30" t="s">
        <v>18</v>
      </c>
      <c r="C30" s="2">
        <v>14511.071250322029</v>
      </c>
      <c r="D30">
        <f>_xlfn.XLOOKUP(B30,Table1[Canton],Table1[Area_protegida_ha],0)</f>
        <v>125.31</v>
      </c>
      <c r="E30" s="4">
        <f t="shared" si="0"/>
        <v>0.86354754820199187</v>
      </c>
    </row>
    <row r="31" spans="1:5" x14ac:dyDescent="0.3">
      <c r="A31" t="s">
        <v>12</v>
      </c>
      <c r="B31" t="s">
        <v>19</v>
      </c>
      <c r="C31" s="2">
        <v>335214.80698448018</v>
      </c>
      <c r="D31">
        <f>_xlfn.XLOOKUP(B31,Table1[Canton],Table1[Area_protegida_ha],0)</f>
        <v>53558.279999999992</v>
      </c>
      <c r="E31" s="4">
        <f t="shared" si="0"/>
        <v>15.97730138528148</v>
      </c>
    </row>
    <row r="32" spans="1:5" x14ac:dyDescent="0.3">
      <c r="A32" t="s">
        <v>12</v>
      </c>
      <c r="B32" t="s">
        <v>20</v>
      </c>
      <c r="C32" s="2">
        <v>15735.593144644279</v>
      </c>
      <c r="D32">
        <f>_xlfn.XLOOKUP(B32,Table1[Canton],Table1[Area_protegida_ha],0)</f>
        <v>1876.06</v>
      </c>
      <c r="E32" s="4">
        <f t="shared" si="0"/>
        <v>11.922397730768289</v>
      </c>
    </row>
    <row r="33" spans="1:5" x14ac:dyDescent="0.3">
      <c r="A33" t="s">
        <v>12</v>
      </c>
      <c r="B33" t="s">
        <v>73</v>
      </c>
      <c r="C33" s="2">
        <v>13676.43512709921</v>
      </c>
      <c r="D33">
        <f>_xlfn.XLOOKUP(B33,Table1[Canton],Table1[Area_protegida_ha],0)</f>
        <v>7994.83</v>
      </c>
      <c r="E33" s="4">
        <f t="shared" si="0"/>
        <v>58.456973075963504</v>
      </c>
    </row>
    <row r="34" spans="1:5" x14ac:dyDescent="0.3">
      <c r="A34" t="s">
        <v>12</v>
      </c>
      <c r="B34" t="s">
        <v>21</v>
      </c>
      <c r="C34" s="2">
        <v>159267.39877263471</v>
      </c>
      <c r="D34">
        <f>_xlfn.XLOOKUP(B34,Table1[Canton],Table1[Area_protegida_ha],0)</f>
        <v>26416.69</v>
      </c>
      <c r="E34" s="4">
        <f t="shared" si="0"/>
        <v>16.58637624747778</v>
      </c>
    </row>
    <row r="35" spans="1:5" x14ac:dyDescent="0.3">
      <c r="A35" t="s">
        <v>12</v>
      </c>
      <c r="B35" t="s">
        <v>22</v>
      </c>
      <c r="C35" s="2">
        <v>133271.00229318719</v>
      </c>
      <c r="D35">
        <f>_xlfn.XLOOKUP(B35,Table1[Canton],Table1[Area_protegida_ha],0)</f>
        <v>19287.730000000003</v>
      </c>
      <c r="E35" s="4">
        <f t="shared" si="0"/>
        <v>14.472563174371796</v>
      </c>
    </row>
    <row r="36" spans="1:5" x14ac:dyDescent="0.3">
      <c r="A36" t="s">
        <v>12</v>
      </c>
      <c r="B36" t="s">
        <v>23</v>
      </c>
      <c r="C36" s="2">
        <v>75282.551885826833</v>
      </c>
      <c r="D36">
        <f>_xlfn.XLOOKUP(B36,Table1[Canton],Table1[Area_protegida_ha],0)</f>
        <v>13541.89</v>
      </c>
      <c r="E36" s="4">
        <f t="shared" si="0"/>
        <v>17.988085765925639</v>
      </c>
    </row>
    <row r="37" spans="1:5" x14ac:dyDescent="0.3">
      <c r="A37" t="s">
        <v>12</v>
      </c>
      <c r="B37" t="s">
        <v>74</v>
      </c>
      <c r="C37" s="2">
        <v>25489.17148715982</v>
      </c>
      <c r="D37">
        <f>_xlfn.XLOOKUP(B37,Table1[Canton],Table1[Area_protegida_ha],0)</f>
        <v>1892.78</v>
      </c>
      <c r="E37" s="4">
        <f t="shared" si="0"/>
        <v>7.4258200230379741</v>
      </c>
    </row>
    <row r="38" spans="1:5" x14ac:dyDescent="0.3">
      <c r="A38" t="s">
        <v>24</v>
      </c>
      <c r="B38" t="s">
        <v>24</v>
      </c>
      <c r="C38" s="2">
        <v>27863.247269553249</v>
      </c>
      <c r="D38">
        <f>_xlfn.XLOOKUP(B38,Table1[Canton],Table1[Area_protegida_ha],0)</f>
        <v>8905.4599999999991</v>
      </c>
      <c r="E38" s="4">
        <f t="shared" si="0"/>
        <v>31.961314177946448</v>
      </c>
    </row>
    <row r="39" spans="1:5" x14ac:dyDescent="0.3">
      <c r="A39" t="s">
        <v>24</v>
      </c>
      <c r="B39" t="s">
        <v>75</v>
      </c>
      <c r="C39" s="2">
        <v>47699.056896574431</v>
      </c>
      <c r="D39">
        <f>_xlfn.XLOOKUP(B39,Table1[Canton],Table1[Area_protegida_ha],0)</f>
        <v>30874.84</v>
      </c>
      <c r="E39" s="4">
        <f t="shared" si="0"/>
        <v>64.728407664213833</v>
      </c>
    </row>
    <row r="40" spans="1:5" x14ac:dyDescent="0.3">
      <c r="A40" t="s">
        <v>24</v>
      </c>
      <c r="B40" t="s">
        <v>81</v>
      </c>
      <c r="C40" s="2">
        <v>4417.9418433692308</v>
      </c>
      <c r="D40">
        <f>_xlfn.XLOOKUP(B40,Table1[Canton],Table1[Area_protegida_ha],0)</f>
        <v>1301.04</v>
      </c>
      <c r="E40" s="4">
        <f t="shared" si="0"/>
        <v>29.449006938665246</v>
      </c>
    </row>
    <row r="41" spans="1:5" x14ac:dyDescent="0.3">
      <c r="A41" t="s">
        <v>24</v>
      </c>
      <c r="B41" t="s">
        <v>69</v>
      </c>
      <c r="C41" s="2">
        <v>25007.27587831231</v>
      </c>
      <c r="D41">
        <f>_xlfn.XLOOKUP(B41,Table1[Canton],Table1[Area_protegida_ha],0)</f>
        <v>5486.22</v>
      </c>
      <c r="E41" s="4">
        <f t="shared" si="0"/>
        <v>21.938495127163982</v>
      </c>
    </row>
    <row r="42" spans="1:5" x14ac:dyDescent="0.3">
      <c r="A42" t="s">
        <v>24</v>
      </c>
      <c r="B42" t="s">
        <v>25</v>
      </c>
      <c r="C42" s="2">
        <v>158924.65654535111</v>
      </c>
      <c r="D42">
        <f>_xlfn.XLOOKUP(B42,Table1[Canton],Table1[Area_protegida_ha],0)</f>
        <v>69341.239999999991</v>
      </c>
      <c r="E42" s="4">
        <f t="shared" si="0"/>
        <v>43.631517920073406</v>
      </c>
    </row>
    <row r="43" spans="1:5" x14ac:dyDescent="0.3">
      <c r="A43" t="s">
        <v>24</v>
      </c>
      <c r="B43" t="s">
        <v>26</v>
      </c>
      <c r="C43" s="2">
        <v>7918.3944478113008</v>
      </c>
      <c r="D43">
        <f>_xlfn.XLOOKUP(B43,Table1[Canton],Table1[Area_protegida_ha],0)</f>
        <v>1075.57</v>
      </c>
      <c r="E43" s="4">
        <f t="shared" si="0"/>
        <v>13.583182892553364</v>
      </c>
    </row>
    <row r="44" spans="1:5" x14ac:dyDescent="0.3">
      <c r="A44" t="s">
        <v>24</v>
      </c>
      <c r="B44" t="s">
        <v>27</v>
      </c>
      <c r="C44" s="2">
        <v>20289.872812189151</v>
      </c>
      <c r="D44">
        <f>_xlfn.XLOOKUP(B44,Table1[Canton],Table1[Area_protegida_ha],0)</f>
        <v>13676.720000000001</v>
      </c>
      <c r="E44" s="4">
        <f t="shared" si="0"/>
        <v>67.406632493939071</v>
      </c>
    </row>
    <row r="45" spans="1:5" x14ac:dyDescent="0.3">
      <c r="A45" t="s">
        <v>24</v>
      </c>
      <c r="B45" t="s">
        <v>28</v>
      </c>
      <c r="C45" s="2">
        <v>17199.6796618847</v>
      </c>
      <c r="D45">
        <f>_xlfn.XLOOKUP(B45,Table1[Canton],Table1[Area_protegida_ha],0)</f>
        <v>9861.2999999999993</v>
      </c>
      <c r="E45" s="4">
        <f t="shared" si="0"/>
        <v>57.334207344879239</v>
      </c>
    </row>
    <row r="46" spans="1:5" x14ac:dyDescent="0.3">
      <c r="A46" t="s">
        <v>29</v>
      </c>
      <c r="B46" t="s">
        <v>29</v>
      </c>
      <c r="C46" s="2">
        <v>28310.91125371301</v>
      </c>
      <c r="D46">
        <f>_xlfn.XLOOKUP(B46,Table1[Canton],Table1[Area_protegida_ha],0)</f>
        <v>24013.75</v>
      </c>
      <c r="E46" s="4">
        <f t="shared" si="0"/>
        <v>84.821536773566649</v>
      </c>
    </row>
    <row r="47" spans="1:5" x14ac:dyDescent="0.3">
      <c r="A47" t="s">
        <v>29</v>
      </c>
      <c r="B47" t="s">
        <v>30</v>
      </c>
      <c r="C47" s="2">
        <v>5601.2008737926881</v>
      </c>
      <c r="D47">
        <f>_xlfn.XLOOKUP(B47,Table1[Canton],Table1[Area_protegida_ha],0)</f>
        <v>1176.25</v>
      </c>
      <c r="E47" s="4">
        <f t="shared" si="0"/>
        <v>20.999961017351211</v>
      </c>
    </row>
    <row r="48" spans="1:5" x14ac:dyDescent="0.3">
      <c r="A48" t="s">
        <v>29</v>
      </c>
      <c r="B48" t="s">
        <v>31</v>
      </c>
      <c r="C48" s="2">
        <v>2539.7087699789122</v>
      </c>
      <c r="D48">
        <f>_xlfn.XLOOKUP(B48,Table1[Canton],Table1[Area_protegida_ha],0)</f>
        <v>0</v>
      </c>
      <c r="E48" s="4">
        <f t="shared" si="0"/>
        <v>0</v>
      </c>
    </row>
    <row r="49" spans="1:5" x14ac:dyDescent="0.3">
      <c r="A49" t="s">
        <v>29</v>
      </c>
      <c r="B49" t="s">
        <v>65</v>
      </c>
      <c r="C49" s="2">
        <v>5210.4953082267284</v>
      </c>
      <c r="D49">
        <f>_xlfn.XLOOKUP(B49,Table1[Canton],Table1[Area_protegida_ha],0)</f>
        <v>935.26</v>
      </c>
      <c r="E49" s="4">
        <f t="shared" si="0"/>
        <v>17.949541160191433</v>
      </c>
    </row>
    <row r="50" spans="1:5" x14ac:dyDescent="0.3">
      <c r="A50" t="s">
        <v>29</v>
      </c>
      <c r="B50" t="s">
        <v>32</v>
      </c>
      <c r="C50" s="2">
        <v>4831.2831306868184</v>
      </c>
      <c r="D50">
        <f>_xlfn.XLOOKUP(B50,Table1[Canton],Table1[Area_protegida_ha],0)</f>
        <v>805.04</v>
      </c>
      <c r="E50" s="4">
        <f t="shared" si="0"/>
        <v>16.663068137874895</v>
      </c>
    </row>
    <row r="51" spans="1:5" x14ac:dyDescent="0.3">
      <c r="A51" t="s">
        <v>29</v>
      </c>
      <c r="B51" t="s">
        <v>33</v>
      </c>
      <c r="C51" s="2">
        <v>2666.9084245192621</v>
      </c>
      <c r="D51">
        <f>_xlfn.XLOOKUP(B51,Table1[Canton],Table1[Area_protegida_ha],0)</f>
        <v>280.24</v>
      </c>
      <c r="E51" s="4">
        <f t="shared" si="0"/>
        <v>10.508047348889237</v>
      </c>
    </row>
    <row r="52" spans="1:5" x14ac:dyDescent="0.3">
      <c r="A52" t="s">
        <v>29</v>
      </c>
      <c r="B52" t="s">
        <v>70</v>
      </c>
      <c r="C52" s="2">
        <v>1238.271587995936</v>
      </c>
      <c r="D52">
        <f>_xlfn.XLOOKUP(B52,Table1[Canton],Table1[Area_protegida_ha],0)</f>
        <v>0</v>
      </c>
      <c r="E52" s="4">
        <f t="shared" si="0"/>
        <v>0</v>
      </c>
    </row>
    <row r="53" spans="1:5" x14ac:dyDescent="0.3">
      <c r="A53" t="s">
        <v>29</v>
      </c>
      <c r="B53" t="s">
        <v>34</v>
      </c>
      <c r="C53" s="2">
        <v>674.79477019438627</v>
      </c>
      <c r="D53">
        <f>_xlfn.XLOOKUP(B53,Table1[Canton],Table1[Area_protegida_ha],0)</f>
        <v>0</v>
      </c>
      <c r="E53" s="4">
        <f t="shared" si="0"/>
        <v>0</v>
      </c>
    </row>
    <row r="54" spans="1:5" x14ac:dyDescent="0.3">
      <c r="A54" t="s">
        <v>29</v>
      </c>
      <c r="B54" t="s">
        <v>35</v>
      </c>
      <c r="C54" s="2">
        <v>833.86695012615974</v>
      </c>
      <c r="D54">
        <f>_xlfn.XLOOKUP(B54,Table1[Canton],Table1[Area_protegida_ha],0)</f>
        <v>0</v>
      </c>
      <c r="E54" s="4">
        <f t="shared" si="0"/>
        <v>0</v>
      </c>
    </row>
    <row r="55" spans="1:5" x14ac:dyDescent="0.3">
      <c r="A55" t="s">
        <v>29</v>
      </c>
      <c r="B55" t="s">
        <v>76</v>
      </c>
      <c r="C55" s="2">
        <v>214426.45943952049</v>
      </c>
      <c r="D55">
        <f>_xlfn.XLOOKUP(B55,Table1[Canton],Table1[Area_protegida_ha],0)</f>
        <v>86271.739999999991</v>
      </c>
      <c r="E55" s="4">
        <f t="shared" si="0"/>
        <v>40.233719395219111</v>
      </c>
    </row>
    <row r="56" spans="1:5" x14ac:dyDescent="0.3">
      <c r="A56" t="s">
        <v>36</v>
      </c>
      <c r="B56" t="s">
        <v>37</v>
      </c>
      <c r="C56" s="2">
        <v>144216.85991050061</v>
      </c>
      <c r="D56">
        <f>_xlfn.XLOOKUP(B56,Table1[Canton],Table1[Area_protegida_ha],0)</f>
        <v>19316.16</v>
      </c>
      <c r="E56" s="4">
        <f t="shared" si="0"/>
        <v>13.393829273489519</v>
      </c>
    </row>
    <row r="57" spans="1:5" x14ac:dyDescent="0.3">
      <c r="A57" t="s">
        <v>36</v>
      </c>
      <c r="B57" t="s">
        <v>38</v>
      </c>
      <c r="C57" s="2">
        <v>133756.99986779739</v>
      </c>
      <c r="D57">
        <f>_xlfn.XLOOKUP(B57,Table1[Canton],Table1[Area_protegida_ha],0)</f>
        <v>7921.24</v>
      </c>
      <c r="E57" s="4">
        <f t="shared" si="0"/>
        <v>5.9221124934240352</v>
      </c>
    </row>
    <row r="58" spans="1:5" x14ac:dyDescent="0.3">
      <c r="A58" t="s">
        <v>36</v>
      </c>
      <c r="B58" t="s">
        <v>39</v>
      </c>
      <c r="C58" s="2">
        <v>132080.99640780839</v>
      </c>
      <c r="D58">
        <f>_xlfn.XLOOKUP(B58,Table1[Canton],Table1[Area_protegida_ha],0)</f>
        <v>7084.0400000000009</v>
      </c>
      <c r="E58" s="4">
        <f t="shared" si="0"/>
        <v>5.3634059347399088</v>
      </c>
    </row>
    <row r="59" spans="1:5" x14ac:dyDescent="0.3">
      <c r="A59" t="s">
        <v>36</v>
      </c>
      <c r="B59" t="s">
        <v>40</v>
      </c>
      <c r="C59" s="2">
        <v>127792.5777787609</v>
      </c>
      <c r="D59">
        <f>_xlfn.XLOOKUP(B59,Table1[Canton],Table1[Area_protegida_ha],0)</f>
        <v>28907.260000000002</v>
      </c>
      <c r="E59" s="4">
        <f t="shared" si="0"/>
        <v>22.6204530047475</v>
      </c>
    </row>
    <row r="60" spans="1:5" x14ac:dyDescent="0.3">
      <c r="A60" t="s">
        <v>36</v>
      </c>
      <c r="B60" t="s">
        <v>41</v>
      </c>
      <c r="C60" s="2">
        <v>59901.146821761919</v>
      </c>
      <c r="D60">
        <f>_xlfn.XLOOKUP(B60,Table1[Canton],Table1[Area_protegida_ha],0)</f>
        <v>2068.77</v>
      </c>
      <c r="E60" s="4">
        <f t="shared" si="0"/>
        <v>3.4536400549320065</v>
      </c>
    </row>
    <row r="61" spans="1:5" x14ac:dyDescent="0.3">
      <c r="A61" t="s">
        <v>36</v>
      </c>
      <c r="B61" t="s">
        <v>42</v>
      </c>
      <c r="C61" s="2">
        <v>68704.751179740968</v>
      </c>
      <c r="D61">
        <f>_xlfn.XLOOKUP(B61,Table1[Canton],Table1[Area_protegida_ha],0)</f>
        <v>3665.04</v>
      </c>
      <c r="E61" s="4">
        <f t="shared" si="0"/>
        <v>5.3344782377739159</v>
      </c>
    </row>
    <row r="62" spans="1:5" x14ac:dyDescent="0.3">
      <c r="A62" t="s">
        <v>36</v>
      </c>
      <c r="B62" t="s">
        <v>43</v>
      </c>
      <c r="C62" s="2">
        <v>64602.059210060033</v>
      </c>
      <c r="D62">
        <f>_xlfn.XLOOKUP(B62,Table1[Canton],Table1[Area_protegida_ha],0)</f>
        <v>4374.01</v>
      </c>
      <c r="E62" s="4">
        <f t="shared" si="0"/>
        <v>6.7706974877959709</v>
      </c>
    </row>
    <row r="63" spans="1:5" x14ac:dyDescent="0.3">
      <c r="A63" t="s">
        <v>36</v>
      </c>
      <c r="B63" t="s">
        <v>66</v>
      </c>
      <c r="C63" s="2">
        <v>66923.446117274958</v>
      </c>
      <c r="D63">
        <f>_xlfn.XLOOKUP(B63,Table1[Canton],Table1[Area_protegida_ha],0)</f>
        <v>8231.8599999999988</v>
      </c>
      <c r="E63" s="4">
        <f t="shared" si="0"/>
        <v>12.30041260214648</v>
      </c>
    </row>
    <row r="64" spans="1:5" x14ac:dyDescent="0.3">
      <c r="A64" t="s">
        <v>36</v>
      </c>
      <c r="B64" t="s">
        <v>44</v>
      </c>
      <c r="C64" s="2">
        <v>56814.242924566519</v>
      </c>
      <c r="D64">
        <f>_xlfn.XLOOKUP(B64,Table1[Canton],Table1[Area_protegida_ha],0)</f>
        <v>371.18</v>
      </c>
      <c r="E64" s="4">
        <f t="shared" si="0"/>
        <v>0.65332209124536533</v>
      </c>
    </row>
    <row r="65" spans="1:5" x14ac:dyDescent="0.3">
      <c r="A65" t="s">
        <v>36</v>
      </c>
      <c r="B65" t="s">
        <v>45</v>
      </c>
      <c r="C65" s="2">
        <v>138539.86133952031</v>
      </c>
      <c r="D65">
        <f>_xlfn.XLOOKUP(B65,Table1[Canton],Table1[Area_protegida_ha],0)</f>
        <v>71896.53</v>
      </c>
      <c r="E65" s="4">
        <f t="shared" si="0"/>
        <v>51.895915951440728</v>
      </c>
    </row>
    <row r="66" spans="1:5" x14ac:dyDescent="0.3">
      <c r="A66" t="s">
        <v>36</v>
      </c>
      <c r="B66" t="s">
        <v>46</v>
      </c>
      <c r="C66" s="2">
        <v>26298.93654956789</v>
      </c>
      <c r="D66">
        <f>_xlfn.XLOOKUP(B66,Table1[Canton],Table1[Area_protegida_ha],0)</f>
        <v>933.37</v>
      </c>
      <c r="E66" s="4">
        <f t="shared" si="0"/>
        <v>3.5490788695611188</v>
      </c>
    </row>
    <row r="67" spans="1:5" x14ac:dyDescent="0.3">
      <c r="A67" t="s">
        <v>47</v>
      </c>
      <c r="B67" t="s">
        <v>47</v>
      </c>
      <c r="C67" s="2">
        <v>178640.03858231191</v>
      </c>
      <c r="D67">
        <f>_xlfn.XLOOKUP(B67,Table1[Canton],Table1[Area_protegida_ha],0)</f>
        <v>30496.67</v>
      </c>
      <c r="E67" s="4">
        <f t="shared" ref="E67:E85" si="1">(D67/C67)*100</f>
        <v>17.071576026305017</v>
      </c>
    </row>
    <row r="68" spans="1:5" x14ac:dyDescent="0.3">
      <c r="A68" t="s">
        <v>47</v>
      </c>
      <c r="B68" t="s">
        <v>48</v>
      </c>
      <c r="C68" s="2">
        <v>21723.243521595032</v>
      </c>
      <c r="D68">
        <f>_xlfn.XLOOKUP(B68,Table1[Canton],Table1[Area_protegida_ha],0)</f>
        <v>2497.73</v>
      </c>
      <c r="E68" s="4">
        <f t="shared" si="1"/>
        <v>11.49796068675017</v>
      </c>
    </row>
    <row r="69" spans="1:5" x14ac:dyDescent="0.3">
      <c r="A69" t="s">
        <v>47</v>
      </c>
      <c r="B69" t="s">
        <v>49</v>
      </c>
      <c r="C69" s="2">
        <v>238293.9652208942</v>
      </c>
      <c r="D69">
        <f>_xlfn.XLOOKUP(B69,Table1[Canton],Table1[Area_protegida_ha],0)</f>
        <v>18482.84</v>
      </c>
      <c r="E69" s="4">
        <f t="shared" si="1"/>
        <v>7.7563189579168492</v>
      </c>
    </row>
    <row r="70" spans="1:5" x14ac:dyDescent="0.3">
      <c r="A70" t="s">
        <v>47</v>
      </c>
      <c r="B70" t="s">
        <v>50</v>
      </c>
      <c r="C70" s="2">
        <v>24758.990146132772</v>
      </c>
      <c r="D70">
        <f>_xlfn.XLOOKUP(B70,Table1[Canton],Table1[Area_protegida_ha],0)</f>
        <v>2735.88</v>
      </c>
      <c r="E70" s="4">
        <f t="shared" si="1"/>
        <v>11.050046806643811</v>
      </c>
    </row>
    <row r="71" spans="1:5" x14ac:dyDescent="0.3">
      <c r="A71" t="s">
        <v>47</v>
      </c>
      <c r="B71" t="s">
        <v>51</v>
      </c>
      <c r="C71" s="2">
        <v>193269.72545248299</v>
      </c>
      <c r="D71">
        <f>_xlfn.XLOOKUP(B71,Table1[Canton],Table1[Area_protegida_ha],0)</f>
        <v>80909.94</v>
      </c>
      <c r="E71" s="4">
        <f t="shared" si="1"/>
        <v>41.863742399681939</v>
      </c>
    </row>
    <row r="72" spans="1:5" x14ac:dyDescent="0.3">
      <c r="A72" t="s">
        <v>47</v>
      </c>
      <c r="B72" t="s">
        <v>52</v>
      </c>
      <c r="C72" s="2">
        <v>55785.441724109143</v>
      </c>
      <c r="D72">
        <f>_xlfn.XLOOKUP(B72,Table1[Canton],Table1[Area_protegida_ha],0)</f>
        <v>2556.3000000000002</v>
      </c>
      <c r="E72" s="4">
        <f t="shared" si="1"/>
        <v>4.5823783427984006</v>
      </c>
    </row>
    <row r="73" spans="1:5" x14ac:dyDescent="0.3">
      <c r="A73" t="s">
        <v>47</v>
      </c>
      <c r="B73" t="s">
        <v>53</v>
      </c>
      <c r="C73" s="2">
        <v>103231.5441829796</v>
      </c>
      <c r="D73">
        <f>_xlfn.XLOOKUP(B73,Table1[Canton],Table1[Area_protegida_ha],0)</f>
        <v>16566.22</v>
      </c>
      <c r="E73" s="4">
        <f t="shared" si="1"/>
        <v>16.047633628957545</v>
      </c>
    </row>
    <row r="74" spans="1:5" x14ac:dyDescent="0.3">
      <c r="A74" t="s">
        <v>47</v>
      </c>
      <c r="B74" t="s">
        <v>54</v>
      </c>
      <c r="C74" s="2">
        <v>94423.550325267162</v>
      </c>
      <c r="D74">
        <f>_xlfn.XLOOKUP(B74,Table1[Canton],Table1[Area_protegida_ha],0)</f>
        <v>28545.89</v>
      </c>
      <c r="E74" s="4">
        <f t="shared" si="1"/>
        <v>30.231748225592082</v>
      </c>
    </row>
    <row r="75" spans="1:5" x14ac:dyDescent="0.3">
      <c r="A75" t="s">
        <v>47</v>
      </c>
      <c r="B75" t="s">
        <v>55</v>
      </c>
      <c r="C75" s="2">
        <v>48321.795372992012</v>
      </c>
      <c r="D75">
        <f>_xlfn.XLOOKUP(B75,Table1[Canton],Table1[Area_protegida_ha],0)</f>
        <v>853.15</v>
      </c>
      <c r="E75" s="4">
        <f t="shared" si="1"/>
        <v>1.765559399055032</v>
      </c>
    </row>
    <row r="76" spans="1:5" x14ac:dyDescent="0.3">
      <c r="A76" t="s">
        <v>47</v>
      </c>
      <c r="B76" t="s">
        <v>56</v>
      </c>
      <c r="C76" s="2">
        <v>62364.798439268146</v>
      </c>
      <c r="D76">
        <f>_xlfn.XLOOKUP(B76,Table1[Canton],Table1[Area_protegida_ha],0)</f>
        <v>0</v>
      </c>
      <c r="E76" s="4">
        <f t="shared" si="1"/>
        <v>0</v>
      </c>
    </row>
    <row r="77" spans="1:5" x14ac:dyDescent="0.3">
      <c r="A77" t="s">
        <v>47</v>
      </c>
      <c r="B77" t="s">
        <v>57</v>
      </c>
      <c r="C77" s="2">
        <v>31601.050625172571</v>
      </c>
      <c r="D77">
        <f>_xlfn.XLOOKUP(B77,Table1[Canton],Table1[Area_protegida_ha],0)</f>
        <v>3365.05</v>
      </c>
      <c r="E77" s="4">
        <f t="shared" si="1"/>
        <v>10.648538366377887</v>
      </c>
    </row>
    <row r="78" spans="1:5" x14ac:dyDescent="0.3">
      <c r="A78" t="s">
        <v>47</v>
      </c>
      <c r="B78" t="s">
        <v>58</v>
      </c>
      <c r="C78" s="2">
        <v>5347.1670068969697</v>
      </c>
      <c r="D78">
        <f>_xlfn.XLOOKUP(B78,Table1[Canton],Table1[Area_protegida_ha],0)</f>
        <v>816.79000000000008</v>
      </c>
      <c r="E78" s="4">
        <f t="shared" si="1"/>
        <v>15.275191497600032</v>
      </c>
    </row>
    <row r="79" spans="1:5" x14ac:dyDescent="0.3">
      <c r="A79" t="s">
        <v>47</v>
      </c>
      <c r="B79" t="s">
        <v>71</v>
      </c>
      <c r="C79" s="2">
        <v>72043.21194298075</v>
      </c>
      <c r="D79">
        <f>_xlfn.XLOOKUP(B79,Table1[Canton],Table1[Area_protegida_ha],0)</f>
        <v>51374.539999999994</v>
      </c>
      <c r="E79" s="4">
        <f t="shared" si="1"/>
        <v>71.310729511422721</v>
      </c>
    </row>
    <row r="80" spans="1:5" x14ac:dyDescent="0.3">
      <c r="A80" t="s">
        <v>82</v>
      </c>
      <c r="B80" t="s">
        <v>82</v>
      </c>
      <c r="C80" s="2">
        <v>176937.82965075769</v>
      </c>
      <c r="D80">
        <f>_xlfn.XLOOKUP(B80,Table1[Canton],Table1[Area_protegida_ha],0)</f>
        <v>53220.65</v>
      </c>
      <c r="E80" s="4">
        <f t="shared" si="1"/>
        <v>30.078728842242302</v>
      </c>
    </row>
    <row r="81" spans="1:5" x14ac:dyDescent="0.3">
      <c r="A81" t="s">
        <v>82</v>
      </c>
      <c r="B81" t="s">
        <v>77</v>
      </c>
      <c r="C81" s="2">
        <v>218818.5456209461</v>
      </c>
      <c r="D81">
        <f>_xlfn.XLOOKUP(B81,Table1[Canton],Table1[Area_protegida_ha],0)</f>
        <v>110379.53</v>
      </c>
      <c r="E81" s="4">
        <f t="shared" si="1"/>
        <v>50.443407201511938</v>
      </c>
    </row>
    <row r="82" spans="1:5" x14ac:dyDescent="0.3">
      <c r="A82" t="s">
        <v>82</v>
      </c>
      <c r="B82" t="s">
        <v>59</v>
      </c>
      <c r="C82" s="2">
        <v>85514.562554175616</v>
      </c>
      <c r="D82">
        <f>_xlfn.XLOOKUP(B82,Table1[Canton],Table1[Area_protegida_ha],0)</f>
        <v>12609.869999999999</v>
      </c>
      <c r="E82" s="4">
        <f t="shared" si="1"/>
        <v>14.745874414093308</v>
      </c>
    </row>
    <row r="83" spans="1:5" x14ac:dyDescent="0.3">
      <c r="A83" t="s">
        <v>82</v>
      </c>
      <c r="B83" t="s">
        <v>60</v>
      </c>
      <c r="C83" s="2">
        <v>279222.57001046248</v>
      </c>
      <c r="D83">
        <f>_xlfn.XLOOKUP(B83,Table1[Canton],Table1[Area_protegida_ha],0)</f>
        <v>164512.25</v>
      </c>
      <c r="E83" s="4">
        <f t="shared" si="1"/>
        <v>58.917962825797254</v>
      </c>
    </row>
    <row r="84" spans="1:5" x14ac:dyDescent="0.3">
      <c r="A84" t="s">
        <v>82</v>
      </c>
      <c r="B84" t="s">
        <v>61</v>
      </c>
      <c r="C84" s="2">
        <v>77039.803771011997</v>
      </c>
      <c r="D84">
        <f>_xlfn.XLOOKUP(B84,Table1[Canton],Table1[Area_protegida_ha],0)</f>
        <v>5582.56</v>
      </c>
      <c r="E84" s="4">
        <f t="shared" si="1"/>
        <v>7.2463320604933408</v>
      </c>
    </row>
    <row r="85" spans="1:5" x14ac:dyDescent="0.3">
      <c r="A85" t="s">
        <v>82</v>
      </c>
      <c r="B85" t="s">
        <v>67</v>
      </c>
      <c r="C85" s="2">
        <v>80156.467635487206</v>
      </c>
      <c r="D85">
        <f>_xlfn.XLOOKUP(B85,Table1[Canton],Table1[Area_protegida_ha],0)</f>
        <v>10736.69</v>
      </c>
      <c r="E85" s="4">
        <f t="shared" si="1"/>
        <v>13.394664606261427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15356D5E6754D8F8908E2CAE916E2" ma:contentTypeVersion="6" ma:contentTypeDescription="Create a new document." ma:contentTypeScope="" ma:versionID="a6b52d6ddfefc63dc374fdd3356ce498">
  <xsd:schema xmlns:xsd="http://www.w3.org/2001/XMLSchema" xmlns:xs="http://www.w3.org/2001/XMLSchema" xmlns:p="http://schemas.microsoft.com/office/2006/metadata/properties" xmlns:ns3="d4f2553d-6d8f-48bf-8c08-632acfee1a61" targetNamespace="http://schemas.microsoft.com/office/2006/metadata/properties" ma:root="true" ma:fieldsID="74e13c0a70fa35f06a780d80d884fb2b" ns3:_="">
    <xsd:import namespace="d4f2553d-6d8f-48bf-8c08-632acfee1a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2553d-6d8f-48bf-8c08-632acfee1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f2553d-6d8f-48bf-8c08-632acfee1a61" xsi:nil="true"/>
  </documentManagement>
</p:properties>
</file>

<file path=customXml/itemProps1.xml><?xml version="1.0" encoding="utf-8"?>
<ds:datastoreItem xmlns:ds="http://schemas.openxmlformats.org/officeDocument/2006/customXml" ds:itemID="{F5251B0C-242E-468E-9ECF-D102EA316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2553d-6d8f-48bf-8c08-632acfee1a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BB6114-C87B-4EE4-B593-F1FF0C6D7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3C677-C8A0-4A0F-9948-EBEA747267B1}">
  <ds:schemaRefs>
    <ds:schemaRef ds:uri="http://schemas.microsoft.com/office/2006/documentManagement/types"/>
    <ds:schemaRef ds:uri="http://purl.org/dc/dcmitype/"/>
    <ds:schemaRef ds:uri="d4f2553d-6d8f-48bf-8c08-632acfee1a61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Cantones</vt:lpstr>
      <vt:lpstr>Area protegida</vt:lpstr>
      <vt:lpstr>Territorial Protected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Yanancy Navarro Cerdas</dc:creator>
  <cp:lastModifiedBy>Teresita Yanancy Navarro Cerdas</cp:lastModifiedBy>
  <dcterms:created xsi:type="dcterms:W3CDTF">2025-10-25T11:09:12Z</dcterms:created>
  <dcterms:modified xsi:type="dcterms:W3CDTF">2025-10-26T06:39:05Z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0x010100FCE15356D5E6754D8F8908E2CAE916E2</vt:lpwstr>
  </property>
</Properties>
</file>
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Environmental Health HLT - Waste Managment\"/>
    </mc:Choice>
  </mc:AlternateContent>
  <xr:revisionPtr revIDLastSave="0" documentId="13_ncr:1_{900C6D95-1D1C-4F64-91FB-4AC38BD37292}" xr6:coauthVersionLast="47" xr6:coauthVersionMax="47" xr10:uidLastSave="{00000000-0000-0000-0000-000000000000}"/>
  <bookViews>
    <workbookView xWindow="-108" yWindow="-108" windowWidth="23256" windowHeight="12456" firstSheet="1" activeTab="7" xr2:uid="{35735BC3-66BA-48B7-9BD3-BA92687729DE}"/>
  </bookViews>
  <sheets>
    <sheet name="Total" sheetId="1" r:id="rId1"/>
    <sheet name="San Jose" sheetId="2" r:id="rId2"/>
    <sheet name="Alajuela" sheetId="3" r:id="rId3"/>
    <sheet name="Cartago" sheetId="4" r:id="rId4"/>
    <sheet name="Heredia" sheetId="5" r:id="rId5"/>
    <sheet name="Guanacaste" sheetId="6" r:id="rId6"/>
    <sheet name="Puntarenas" sheetId="7" r:id="rId7"/>
    <sheet name="Limon" sheetId="8" r:id="rId8"/>
    <sheet name="Sheet1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8" l="1"/>
  <c r="E8" i="8" s="1"/>
  <c r="F8" i="8" s="1"/>
  <c r="F3" i="8"/>
  <c r="F4" i="8"/>
  <c r="F5" i="8"/>
  <c r="F6" i="8"/>
  <c r="F7" i="8"/>
  <c r="E3" i="8"/>
  <c r="E4" i="8"/>
  <c r="E5" i="8"/>
  <c r="E6" i="8"/>
  <c r="E7" i="8"/>
  <c r="D3" i="8"/>
  <c r="D4" i="8"/>
  <c r="D5" i="8"/>
  <c r="D6" i="8"/>
  <c r="D7" i="8"/>
  <c r="F3" i="7"/>
  <c r="F4" i="7"/>
  <c r="F5" i="7"/>
  <c r="F6" i="7"/>
  <c r="F7" i="7"/>
  <c r="F8" i="7"/>
  <c r="F9" i="7"/>
  <c r="F10" i="7"/>
  <c r="F11" i="7"/>
  <c r="F12" i="7"/>
  <c r="F13" i="7"/>
  <c r="F14" i="7"/>
  <c r="E3" i="7"/>
  <c r="E4" i="7"/>
  <c r="E5" i="7"/>
  <c r="E6" i="7"/>
  <c r="E7" i="7"/>
  <c r="E8" i="7"/>
  <c r="E9" i="7"/>
  <c r="E10" i="7"/>
  <c r="E11" i="7"/>
  <c r="E12" i="7"/>
  <c r="E13" i="7"/>
  <c r="E14" i="7"/>
  <c r="D3" i="7"/>
  <c r="D4" i="7"/>
  <c r="D5" i="7"/>
  <c r="D6" i="7"/>
  <c r="D7" i="7"/>
  <c r="D8" i="7"/>
  <c r="D9" i="7"/>
  <c r="D10" i="7"/>
  <c r="D11" i="7"/>
  <c r="D12" i="7"/>
  <c r="D13" i="7"/>
  <c r="D14" i="7"/>
  <c r="D13" i="6"/>
  <c r="E13" i="6" s="1"/>
  <c r="F13" i="6" s="1"/>
  <c r="F3" i="6"/>
  <c r="F4" i="6"/>
  <c r="F5" i="6"/>
  <c r="F6" i="6"/>
  <c r="F7" i="6"/>
  <c r="F8" i="6"/>
  <c r="F9" i="6"/>
  <c r="F10" i="6"/>
  <c r="F11" i="6"/>
  <c r="F12" i="6"/>
  <c r="E3" i="6"/>
  <c r="E4" i="6"/>
  <c r="E5" i="6"/>
  <c r="E6" i="6"/>
  <c r="E7" i="6"/>
  <c r="E8" i="6"/>
  <c r="E9" i="6"/>
  <c r="E10" i="6"/>
  <c r="E11" i="6"/>
  <c r="E12" i="6"/>
  <c r="D3" i="6"/>
  <c r="D4" i="6"/>
  <c r="D5" i="6"/>
  <c r="D6" i="6"/>
  <c r="D7" i="6"/>
  <c r="D8" i="6"/>
  <c r="D9" i="6"/>
  <c r="D10" i="6"/>
  <c r="D11" i="6"/>
  <c r="D12" i="6"/>
  <c r="D12" i="5"/>
  <c r="E12" i="5"/>
  <c r="F12" i="5" s="1"/>
  <c r="F3" i="5"/>
  <c r="F4" i="5"/>
  <c r="F5" i="5"/>
  <c r="F6" i="5"/>
  <c r="F7" i="5"/>
  <c r="F8" i="5"/>
  <c r="F9" i="5"/>
  <c r="F10" i="5"/>
  <c r="F11" i="5"/>
  <c r="E3" i="5"/>
  <c r="E4" i="5"/>
  <c r="E5" i="5"/>
  <c r="E6" i="5"/>
  <c r="E7" i="5"/>
  <c r="E8" i="5"/>
  <c r="E9" i="5"/>
  <c r="E10" i="5"/>
  <c r="E11" i="5"/>
  <c r="D3" i="5"/>
  <c r="D4" i="5"/>
  <c r="D5" i="5"/>
  <c r="D6" i="5"/>
  <c r="D7" i="5"/>
  <c r="D8" i="5"/>
  <c r="D9" i="5"/>
  <c r="D10" i="5"/>
  <c r="D11" i="5"/>
  <c r="D10" i="4"/>
  <c r="E10" i="4"/>
  <c r="F10" i="4"/>
  <c r="F3" i="4"/>
  <c r="F4" i="4"/>
  <c r="F5" i="4"/>
  <c r="F6" i="4"/>
  <c r="F7" i="4"/>
  <c r="F8" i="4"/>
  <c r="F9" i="4"/>
  <c r="E3" i="4"/>
  <c r="E4" i="4"/>
  <c r="E5" i="4"/>
  <c r="E6" i="4"/>
  <c r="E7" i="4"/>
  <c r="E8" i="4"/>
  <c r="E9" i="4"/>
  <c r="D3" i="4"/>
  <c r="D4" i="4"/>
  <c r="D5" i="4"/>
  <c r="D6" i="4"/>
  <c r="D7" i="4"/>
  <c r="D8" i="4"/>
  <c r="D9" i="4"/>
  <c r="C2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C22" i="8"/>
  <c r="D2" i="8" s="1"/>
  <c r="E2" i="8" s="1"/>
  <c r="F2" i="8" s="1"/>
  <c r="C22" i="7"/>
  <c r="C22" i="3"/>
  <c r="D2" i="2"/>
  <c r="D2" i="6"/>
  <c r="E2" i="6" s="1"/>
  <c r="F2" i="6" s="1"/>
  <c r="D2" i="4"/>
  <c r="E2" i="4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D22" i="2"/>
  <c r="E2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2" i="2"/>
  <c r="D9" i="9"/>
  <c r="D3" i="9"/>
  <c r="D4" i="9"/>
  <c r="D5" i="9"/>
  <c r="D6" i="9"/>
  <c r="D7" i="9"/>
  <c r="D8" i="9"/>
  <c r="D2" i="9"/>
  <c r="C9" i="9"/>
  <c r="C3" i="9"/>
  <c r="C4" i="9"/>
  <c r="C5" i="9"/>
  <c r="C6" i="9"/>
  <c r="C7" i="9"/>
  <c r="C8" i="9"/>
  <c r="C2" i="9"/>
  <c r="C22" i="5"/>
  <c r="D2" i="5" s="1"/>
  <c r="E2" i="5" s="1"/>
  <c r="C22" i="6"/>
  <c r="D2" i="7"/>
  <c r="E2" i="7" s="1"/>
  <c r="F2" i="7" s="1"/>
  <c r="B9" i="9"/>
  <c r="D67" i="1"/>
  <c r="C67" i="1"/>
  <c r="D62" i="1"/>
  <c r="C62" i="1"/>
  <c r="E62" i="1" s="1"/>
  <c r="C43" i="1"/>
  <c r="E43" i="1" s="1"/>
  <c r="D43" i="1"/>
  <c r="E47" i="1"/>
  <c r="E46" i="1"/>
  <c r="D41" i="1"/>
  <c r="C41" i="1"/>
  <c r="E40" i="1"/>
  <c r="C23" i="1"/>
  <c r="D2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/>
  <c r="E42" i="1"/>
  <c r="E44" i="1"/>
  <c r="E45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3" i="1"/>
  <c r="E2" i="1"/>
  <c r="F2" i="5" l="1"/>
  <c r="F2" i="4"/>
  <c r="D2" i="3"/>
  <c r="E2" i="3" s="1"/>
  <c r="F2" i="3" s="1"/>
  <c r="E67" i="1"/>
</calcChain>
</file>

<file path=xl/sharedStrings.xml><?xml version="1.0" encoding="utf-8"?>
<sst xmlns="http://schemas.openxmlformats.org/spreadsheetml/2006/main" count="405" uniqueCount="105">
  <si>
    <t>Provincia</t>
  </si>
  <si>
    <t>Cantón</t>
  </si>
  <si>
    <t>Residuos generados por año (Tm)</t>
  </si>
  <si>
    <t>Población</t>
  </si>
  <si>
    <t>Residuos Generados per Capita (Tm/persona)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</si>
  <si>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</si>
  <si>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</si>
  <si>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</si>
  <si>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</si>
  <si>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</si>
  <si>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</si>
  <si>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</si>
  <si>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</si>
  <si>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</si>
  <si>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</si>
  <si>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</si>
  <si>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</si>
  <si>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</si>
  <si>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</si>
  <si>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</si>
  <si>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</si>
  <si>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</si>
  <si>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</si>
  <si>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</si>
  <si>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</si>
  <si>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</si>
  <si>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</si>
  <si>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</si>
  <si>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</si>
  <si>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</si>
  <si>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</si>
  <si>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</si>
  <si>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</si>
  <si>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</si>
  <si>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</si>
  <si>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</si>
  <si>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</si>
  <si>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</si>
  <si>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</si>
  <si>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</si>
  <si>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Río Cuarto</t>
  </si>
  <si>
    <t>No disponible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</si>
  <si>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</si>
  <si>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</si>
  <si>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</si>
  <si>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</si>
  <si>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</si>
  <si>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</si>
  <si>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</si>
  <si>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</si>
  <si>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</si>
  <si>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</si>
  <si>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</si>
  <si>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</si>
  <si>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</si>
  <si>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</si>
  <si>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</si>
  <si>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</si>
  <si>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</si>
  <si>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</si>
  <si>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Guanacate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</si>
  <si>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</si>
  <si>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</si>
  <si>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</si>
  <si>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</si>
  <si>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</si>
  <si>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</si>
  <si>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</si>
  <si>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</si>
  <si>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</si>
  <si>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</si>
  <si>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</si>
  <si>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</si>
  <si>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</si>
  <si>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</si>
  <si>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</si>
  <si>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</si>
  <si>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</si>
  <si>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</si>
  <si>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</si>
  <si>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</si>
  <si>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</si>
  <si>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</si>
  <si>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</si>
  <si>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NA</t>
  </si>
  <si>
    <t>Puerto Jiménez</t>
  </si>
  <si>
    <t>Limón</t>
  </si>
  <si>
    <t>Pococí</t>
  </si>
  <si>
    <t>Siquirres</t>
  </si>
  <si>
    <t>Talamanca</t>
  </si>
  <si>
    <t>Matina</t>
  </si>
  <si>
    <t>Guácimo</t>
  </si>
  <si>
    <t xml:space="preserve">Cartago </t>
  </si>
  <si>
    <t xml:space="preserve">Heredia </t>
  </si>
  <si>
    <t>Guanacaste</t>
  </si>
  <si>
    <t xml:space="preserve">Puntarenas </t>
  </si>
  <si>
    <t xml:space="preserve">Limon </t>
  </si>
  <si>
    <t xml:space="preserve">% residuos por provincia </t>
  </si>
  <si>
    <t xml:space="preserve">Recuperado pais </t>
  </si>
  <si>
    <t>Recuperado (ton)</t>
  </si>
  <si>
    <t>Residuos generados por año (T)</t>
  </si>
  <si>
    <t>% de residuos producidos por canton</t>
  </si>
  <si>
    <t>Recuperado (T)</t>
  </si>
  <si>
    <t>Recuperado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</si>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</sst>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AC1-F21D-41C9-97B2-173A10787DD0}">
  <dimension ref="A1:E85"/>
  <sheetViews>
    <sheetView topLeftCell="A63" workbookViewId="0">
      <selection activeCell="C86" sqref="C86"/>
    </sheetView>
  </sheetViews>
  <sheetFormatPr defaultRowHeight="14.4" x14ac:dyDescent="0.3"/>
  <cols>
    <col min="1" max="1" width="10.33203125" bestFit="1" customWidth="1"/>
    <col min="2" max="2" width="18.44140625" bestFit="1" customWidth="1"/>
    <col min="3" max="3" width="27.6640625" bestFit="1" customWidth="1"/>
    <col min="4" max="4" width="9" bestFit="1" customWidth="1"/>
    <col min="5" max="5" width="3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>
        <v>95460</v>
      </c>
      <c r="D2">
        <v>352381</v>
      </c>
      <c r="E2" s="1">
        <f>C2/D2</f>
        <v>0.27089996339189681</v>
      </c>
    </row>
    <row r="3" spans="1:5" x14ac:dyDescent="0.3">
      <c r="A3" t="s">
        <v>5</v>
      </c>
      <c r="B3" t="s">
        <v>6</v>
      </c>
      <c r="C3">
        <v>19782.400000000001</v>
      </c>
      <c r="D3">
        <v>71500</v>
      </c>
      <c r="E3" s="1">
        <f t="shared" ref="E3:E66" si="0">C3/D3</f>
        <v>0.2766769230769231</v>
      </c>
    </row>
    <row r="4" spans="1:5" x14ac:dyDescent="0.3">
      <c r="A4" t="s">
        <v>5</v>
      </c>
      <c r="B4" t="s">
        <v>7</v>
      </c>
      <c r="C4">
        <v>57000</v>
      </c>
      <c r="D4">
        <v>223226</v>
      </c>
      <c r="E4" s="1">
        <f t="shared" si="0"/>
        <v>0.25534659941046295</v>
      </c>
    </row>
    <row r="5" spans="1:5" x14ac:dyDescent="0.3">
      <c r="A5" t="s">
        <v>5</v>
      </c>
      <c r="B5" t="s">
        <v>8</v>
      </c>
      <c r="C5">
        <v>4872</v>
      </c>
      <c r="D5">
        <v>38525</v>
      </c>
      <c r="E5" s="1">
        <f t="shared" si="0"/>
        <v>0.12646333549643088</v>
      </c>
    </row>
    <row r="6" spans="1:5" x14ac:dyDescent="0.3">
      <c r="A6" t="s">
        <v>5</v>
      </c>
      <c r="B6" t="s">
        <v>9</v>
      </c>
      <c r="C6">
        <v>4180</v>
      </c>
      <c r="D6">
        <v>17810</v>
      </c>
      <c r="E6" s="1">
        <f t="shared" si="0"/>
        <v>0.23469960696238068</v>
      </c>
    </row>
    <row r="7" spans="1:5" x14ac:dyDescent="0.3">
      <c r="A7" t="s">
        <v>5</v>
      </c>
      <c r="B7" t="s">
        <v>10</v>
      </c>
      <c r="C7">
        <v>12875</v>
      </c>
      <c r="D7">
        <v>59588</v>
      </c>
      <c r="E7" s="1">
        <f t="shared" si="0"/>
        <v>0.21606699335436666</v>
      </c>
    </row>
    <row r="8" spans="1:5" x14ac:dyDescent="0.3">
      <c r="A8" t="s">
        <v>5</v>
      </c>
      <c r="B8" t="s">
        <v>11</v>
      </c>
      <c r="C8">
        <v>9296.6</v>
      </c>
      <c r="D8">
        <v>32348</v>
      </c>
      <c r="E8" s="1">
        <f t="shared" si="0"/>
        <v>0.28739334734759492</v>
      </c>
    </row>
    <row r="9" spans="1:5" x14ac:dyDescent="0.3">
      <c r="A9" t="s">
        <v>5</v>
      </c>
      <c r="B9" t="s">
        <v>12</v>
      </c>
      <c r="C9">
        <v>28920</v>
      </c>
      <c r="D9">
        <v>132104</v>
      </c>
      <c r="E9" s="1">
        <f t="shared" si="0"/>
        <v>0.21891842790528673</v>
      </c>
    </row>
    <row r="10" spans="1:5" x14ac:dyDescent="0.3">
      <c r="A10" t="s">
        <v>5</v>
      </c>
      <c r="B10" t="s">
        <v>13</v>
      </c>
      <c r="C10">
        <v>22200</v>
      </c>
      <c r="D10">
        <v>58020</v>
      </c>
      <c r="E10" s="1">
        <f t="shared" si="0"/>
        <v>0.38262668045501552</v>
      </c>
    </row>
    <row r="11" spans="1:5" x14ac:dyDescent="0.3">
      <c r="A11" t="s">
        <v>5</v>
      </c>
      <c r="B11" t="s">
        <v>14</v>
      </c>
      <c r="C11">
        <v>19677.5</v>
      </c>
      <c r="D11">
        <v>81012</v>
      </c>
      <c r="E11" s="1">
        <f t="shared" si="0"/>
        <v>0.24289611415592752</v>
      </c>
    </row>
    <row r="12" spans="1:5" x14ac:dyDescent="0.3">
      <c r="A12" t="s">
        <v>5</v>
      </c>
      <c r="B12" t="s">
        <v>15</v>
      </c>
      <c r="C12">
        <v>17317</v>
      </c>
      <c r="D12">
        <v>67078</v>
      </c>
      <c r="E12" s="1">
        <f t="shared" si="0"/>
        <v>0.25816213959867618</v>
      </c>
    </row>
    <row r="13" spans="1:5" x14ac:dyDescent="0.3">
      <c r="A13" t="s">
        <v>5</v>
      </c>
      <c r="B13" t="s">
        <v>16</v>
      </c>
      <c r="C13">
        <v>2712</v>
      </c>
      <c r="D13">
        <v>22542</v>
      </c>
      <c r="E13" s="1">
        <f t="shared" si="0"/>
        <v>0.12030875698695769</v>
      </c>
    </row>
    <row r="14" spans="1:5" x14ac:dyDescent="0.3">
      <c r="A14" t="s">
        <v>5</v>
      </c>
      <c r="B14" t="s">
        <v>17</v>
      </c>
      <c r="C14">
        <v>18314</v>
      </c>
      <c r="D14">
        <v>74592</v>
      </c>
      <c r="E14" s="1">
        <f t="shared" si="0"/>
        <v>0.24552230802230801</v>
      </c>
    </row>
    <row r="15" spans="1:5" x14ac:dyDescent="0.3">
      <c r="A15" t="s">
        <v>5</v>
      </c>
      <c r="B15" t="s">
        <v>18</v>
      </c>
      <c r="C15">
        <v>18720</v>
      </c>
      <c r="D15">
        <v>59546</v>
      </c>
      <c r="E15" s="1">
        <f t="shared" si="0"/>
        <v>0.31437879958351528</v>
      </c>
    </row>
    <row r="16" spans="1:5" x14ac:dyDescent="0.3">
      <c r="A16" t="s">
        <v>5</v>
      </c>
      <c r="B16" t="s">
        <v>19</v>
      </c>
      <c r="C16">
        <v>15600</v>
      </c>
      <c r="D16">
        <v>53862</v>
      </c>
      <c r="E16" s="1">
        <f t="shared" si="0"/>
        <v>0.28962905202183359</v>
      </c>
    </row>
    <row r="17" spans="1:5" x14ac:dyDescent="0.3">
      <c r="A17" t="s">
        <v>5</v>
      </c>
      <c r="B17" t="s">
        <v>20</v>
      </c>
      <c r="C17">
        <v>6396.5</v>
      </c>
      <c r="D17">
        <v>6173</v>
      </c>
      <c r="E17" s="1">
        <f t="shared" si="0"/>
        <v>1.0362060586424753</v>
      </c>
    </row>
    <row r="18" spans="1:5" x14ac:dyDescent="0.3">
      <c r="A18" t="s">
        <v>5</v>
      </c>
      <c r="B18" t="s">
        <v>21</v>
      </c>
      <c r="C18">
        <v>1500</v>
      </c>
      <c r="D18">
        <v>9364</v>
      </c>
      <c r="E18" s="1">
        <f t="shared" si="0"/>
        <v>0.16018795386586929</v>
      </c>
    </row>
    <row r="19" spans="1:5" x14ac:dyDescent="0.3">
      <c r="A19" t="s">
        <v>5</v>
      </c>
      <c r="B19" t="s">
        <v>22</v>
      </c>
      <c r="C19">
        <v>24372</v>
      </c>
      <c r="D19">
        <v>71026</v>
      </c>
      <c r="E19" s="1">
        <f t="shared" si="0"/>
        <v>0.3431419480190353</v>
      </c>
    </row>
    <row r="20" spans="1:5" x14ac:dyDescent="0.3">
      <c r="A20" t="s">
        <v>5</v>
      </c>
      <c r="B20" t="s">
        <v>23</v>
      </c>
      <c r="C20">
        <v>15214.2</v>
      </c>
      <c r="D20">
        <v>156917</v>
      </c>
      <c r="E20" s="1">
        <f t="shared" si="0"/>
        <v>9.6956990001083376E-2</v>
      </c>
    </row>
    <row r="21" spans="1:5" x14ac:dyDescent="0.3">
      <c r="A21" t="s">
        <v>5</v>
      </c>
      <c r="B21" t="s">
        <v>24</v>
      </c>
      <c r="C21">
        <v>1380</v>
      </c>
      <c r="D21">
        <v>13553</v>
      </c>
      <c r="E21" s="1">
        <f t="shared" si="0"/>
        <v>0.10182247472884232</v>
      </c>
    </row>
    <row r="22" spans="1:5" x14ac:dyDescent="0.3">
      <c r="A22" t="s">
        <v>25</v>
      </c>
      <c r="B22" t="s">
        <v>25</v>
      </c>
      <c r="C22">
        <v>94412</v>
      </c>
      <c r="D22">
        <v>322143</v>
      </c>
      <c r="E22" s="1">
        <f t="shared" si="0"/>
        <v>0.29307481460096912</v>
      </c>
    </row>
    <row r="23" spans="1:5" x14ac:dyDescent="0.3">
      <c r="A23" t="s">
        <v>25</v>
      </c>
      <c r="B23" t="s">
        <v>26</v>
      </c>
      <c r="C23">
        <f>23640+1440</f>
        <v>25080</v>
      </c>
      <c r="D23">
        <f>93264+11460</f>
        <v>104724</v>
      </c>
      <c r="E23" s="1">
        <f t="shared" si="0"/>
        <v>0.23948665062449867</v>
      </c>
    </row>
    <row r="24" spans="1:5" x14ac:dyDescent="0.3">
      <c r="A24" t="s">
        <v>25</v>
      </c>
      <c r="B24" t="s">
        <v>27</v>
      </c>
      <c r="C24">
        <v>18933</v>
      </c>
      <c r="D24">
        <v>76226</v>
      </c>
      <c r="E24" s="1">
        <f t="shared" si="0"/>
        <v>0.24837981790989952</v>
      </c>
    </row>
    <row r="25" spans="1:5" x14ac:dyDescent="0.3">
      <c r="A25" t="s">
        <v>25</v>
      </c>
      <c r="B25" t="s">
        <v>28</v>
      </c>
      <c r="C25">
        <v>2007</v>
      </c>
      <c r="D25">
        <v>6952</v>
      </c>
      <c r="E25" s="1">
        <f t="shared" si="0"/>
        <v>0.28869390103567316</v>
      </c>
    </row>
    <row r="26" spans="1:5" x14ac:dyDescent="0.3">
      <c r="A26" t="s">
        <v>25</v>
      </c>
      <c r="B26" t="s">
        <v>29</v>
      </c>
      <c r="C26">
        <v>7188</v>
      </c>
      <c r="D26">
        <v>30407</v>
      </c>
      <c r="E26" s="1">
        <f t="shared" si="0"/>
        <v>0.23639293583714277</v>
      </c>
    </row>
    <row r="27" spans="1:5" x14ac:dyDescent="0.3">
      <c r="A27" t="s">
        <v>25</v>
      </c>
      <c r="B27" t="s">
        <v>30</v>
      </c>
      <c r="C27">
        <v>10800</v>
      </c>
      <c r="D27">
        <v>46647</v>
      </c>
      <c r="E27" s="1">
        <f t="shared" si="0"/>
        <v>0.23152614316033185</v>
      </c>
    </row>
    <row r="28" spans="1:5" x14ac:dyDescent="0.3">
      <c r="A28" t="s">
        <v>25</v>
      </c>
      <c r="B28" t="s">
        <v>31</v>
      </c>
      <c r="C28">
        <v>11106.7</v>
      </c>
      <c r="D28">
        <v>39148</v>
      </c>
      <c r="E28" s="1">
        <f t="shared" si="0"/>
        <v>0.28371053438234395</v>
      </c>
    </row>
    <row r="29" spans="1:5" x14ac:dyDescent="0.3">
      <c r="A29" t="s">
        <v>25</v>
      </c>
      <c r="B29" t="s">
        <v>32</v>
      </c>
      <c r="C29">
        <v>7380</v>
      </c>
      <c r="D29">
        <v>36207</v>
      </c>
      <c r="E29" s="1">
        <f t="shared" si="0"/>
        <v>0.2038279890628884</v>
      </c>
    </row>
    <row r="30" spans="1:5" x14ac:dyDescent="0.3">
      <c r="A30" t="s">
        <v>25</v>
      </c>
      <c r="B30" t="s">
        <v>33</v>
      </c>
      <c r="C30">
        <v>7800</v>
      </c>
      <c r="D30">
        <v>24217</v>
      </c>
      <c r="E30" s="1">
        <f t="shared" si="0"/>
        <v>0.32208778956931083</v>
      </c>
    </row>
    <row r="31" spans="1:5" x14ac:dyDescent="0.3">
      <c r="A31" t="s">
        <v>25</v>
      </c>
      <c r="B31" t="s">
        <v>34</v>
      </c>
      <c r="C31">
        <v>28800</v>
      </c>
      <c r="D31">
        <v>198742</v>
      </c>
      <c r="E31" s="1">
        <f t="shared" si="0"/>
        <v>0.14491149329281178</v>
      </c>
    </row>
    <row r="32" spans="1:5" x14ac:dyDescent="0.3">
      <c r="A32" t="s">
        <v>25</v>
      </c>
      <c r="B32" t="s">
        <v>35</v>
      </c>
      <c r="C32">
        <v>3268</v>
      </c>
      <c r="D32">
        <v>15153</v>
      </c>
      <c r="E32" s="1">
        <f t="shared" si="0"/>
        <v>0.21566686464726456</v>
      </c>
    </row>
    <row r="33" spans="1:5" x14ac:dyDescent="0.3">
      <c r="A33" t="s">
        <v>25</v>
      </c>
      <c r="B33" t="s">
        <v>36</v>
      </c>
      <c r="C33">
        <v>4404</v>
      </c>
      <c r="D33">
        <v>21562</v>
      </c>
      <c r="E33" s="1">
        <f t="shared" si="0"/>
        <v>0.20424821445134961</v>
      </c>
    </row>
    <row r="34" spans="1:5" x14ac:dyDescent="0.3">
      <c r="A34" t="s">
        <v>25</v>
      </c>
      <c r="B34" t="s">
        <v>37</v>
      </c>
      <c r="C34">
        <v>3600</v>
      </c>
      <c r="D34">
        <v>57361</v>
      </c>
      <c r="E34" s="1">
        <f t="shared" si="0"/>
        <v>6.27604121267063E-2</v>
      </c>
    </row>
    <row r="35" spans="1:5" x14ac:dyDescent="0.3">
      <c r="A35" t="s">
        <v>25</v>
      </c>
      <c r="B35" t="s">
        <v>38</v>
      </c>
      <c r="C35">
        <v>1680</v>
      </c>
      <c r="D35">
        <v>34701</v>
      </c>
      <c r="E35" s="1">
        <f t="shared" si="0"/>
        <v>4.8413590386444195E-2</v>
      </c>
    </row>
    <row r="36" spans="1:5" x14ac:dyDescent="0.3">
      <c r="A36" t="s">
        <v>25</v>
      </c>
      <c r="B36" t="s">
        <v>39</v>
      </c>
      <c r="C36">
        <v>1179</v>
      </c>
      <c r="D36">
        <v>18316</v>
      </c>
      <c r="E36" s="1">
        <f t="shared" si="0"/>
        <v>6.4369949770692297E-2</v>
      </c>
    </row>
    <row r="37" spans="1:5" x14ac:dyDescent="0.3">
      <c r="A37" t="s">
        <v>25</v>
      </c>
      <c r="B37" t="s">
        <v>40</v>
      </c>
      <c r="C37" t="s">
        <v>41</v>
      </c>
      <c r="D37">
        <v>14418</v>
      </c>
      <c r="E37" s="1" t="e">
        <f t="shared" si="0"/>
        <v>#VALUE!</v>
      </c>
    </row>
    <row r="38" spans="1:5" x14ac:dyDescent="0.3">
      <c r="A38" t="s">
        <v>42</v>
      </c>
      <c r="B38" t="s">
        <v>42</v>
      </c>
      <c r="C38">
        <v>40922</v>
      </c>
      <c r="D38">
        <v>165417</v>
      </c>
      <c r="E38" s="1">
        <f t="shared" si="0"/>
        <v>0.2473869070289027</v>
      </c>
    </row>
    <row r="39" spans="1:5" x14ac:dyDescent="0.3">
      <c r="A39" t="s">
        <v>42</v>
      </c>
      <c r="B39" t="s">
        <v>43</v>
      </c>
      <c r="C39">
        <v>17100</v>
      </c>
      <c r="D39">
        <v>65941</v>
      </c>
      <c r="E39" s="1">
        <f t="shared" si="0"/>
        <v>0.25932272789311656</v>
      </c>
    </row>
    <row r="40" spans="1:5" x14ac:dyDescent="0.3">
      <c r="A40" t="s">
        <v>42</v>
      </c>
      <c r="B40" t="s">
        <v>44</v>
      </c>
      <c r="C40">
        <v>30307.5</v>
      </c>
      <c r="D40">
        <v>99539</v>
      </c>
      <c r="E40" s="1">
        <f t="shared" si="0"/>
        <v>0.30447864656064455</v>
      </c>
    </row>
    <row r="41" spans="1:5" x14ac:dyDescent="0.3">
      <c r="A41" t="s">
        <v>42</v>
      </c>
      <c r="B41" t="s">
        <v>45</v>
      </c>
      <c r="C41">
        <f>1800+720</f>
        <v>2520</v>
      </c>
      <c r="D41">
        <f>18710+5595</f>
        <v>24305</v>
      </c>
      <c r="E41" s="1">
        <f t="shared" si="0"/>
        <v>0.10368236988274018</v>
      </c>
    </row>
    <row r="42" spans="1:5" x14ac:dyDescent="0.3">
      <c r="A42" t="s">
        <v>42</v>
      </c>
      <c r="B42" t="s">
        <v>46</v>
      </c>
      <c r="C42">
        <v>9772</v>
      </c>
      <c r="D42">
        <v>82065</v>
      </c>
      <c r="E42" s="1">
        <f t="shared" si="0"/>
        <v>0.11907634192408456</v>
      </c>
    </row>
    <row r="43" spans="1:5" x14ac:dyDescent="0.3">
      <c r="A43" t="s">
        <v>42</v>
      </c>
      <c r="B43" t="s">
        <v>47</v>
      </c>
      <c r="C43">
        <f>1373+1572.7</f>
        <v>2945.7</v>
      </c>
      <c r="D43">
        <f>17134+8273</f>
        <v>25407</v>
      </c>
      <c r="E43" s="1">
        <f t="shared" si="0"/>
        <v>0.11594048884165781</v>
      </c>
    </row>
    <row r="44" spans="1:5" x14ac:dyDescent="0.3">
      <c r="A44" t="s">
        <v>42</v>
      </c>
      <c r="B44" t="s">
        <v>48</v>
      </c>
      <c r="C44">
        <v>10080</v>
      </c>
      <c r="D44">
        <v>48911</v>
      </c>
      <c r="E44" s="1">
        <f t="shared" si="0"/>
        <v>0.20608860992414793</v>
      </c>
    </row>
    <row r="45" spans="1:5" x14ac:dyDescent="0.3">
      <c r="A45" t="s">
        <v>42</v>
      </c>
      <c r="B45" t="s">
        <v>49</v>
      </c>
      <c r="C45">
        <v>10704</v>
      </c>
      <c r="D45">
        <v>47375</v>
      </c>
      <c r="E45" s="1">
        <f t="shared" si="0"/>
        <v>0.22594195250659629</v>
      </c>
    </row>
    <row r="46" spans="1:5" x14ac:dyDescent="0.3">
      <c r="A46" t="s">
        <v>50</v>
      </c>
      <c r="B46" t="s">
        <v>50</v>
      </c>
      <c r="C46">
        <v>44729.18</v>
      </c>
      <c r="D46">
        <v>131901</v>
      </c>
      <c r="E46" s="1">
        <f>C46/D46</f>
        <v>0.33911175806096999</v>
      </c>
    </row>
    <row r="47" spans="1:5" x14ac:dyDescent="0.3">
      <c r="A47" t="s">
        <v>50</v>
      </c>
      <c r="B47" t="s">
        <v>51</v>
      </c>
      <c r="C47">
        <v>12840</v>
      </c>
      <c r="D47">
        <v>47699</v>
      </c>
      <c r="E47" s="1">
        <f>C47/D47</f>
        <v>0.26918803329210256</v>
      </c>
    </row>
    <row r="48" spans="1:5" x14ac:dyDescent="0.3">
      <c r="A48" t="s">
        <v>50</v>
      </c>
      <c r="B48" t="s">
        <v>52</v>
      </c>
      <c r="C48">
        <v>14760</v>
      </c>
      <c r="D48">
        <v>45932</v>
      </c>
      <c r="E48" s="1">
        <f t="shared" si="0"/>
        <v>0.32134459635983625</v>
      </c>
    </row>
    <row r="49" spans="1:5" x14ac:dyDescent="0.3">
      <c r="A49" t="s">
        <v>50</v>
      </c>
      <c r="B49" t="s">
        <v>53</v>
      </c>
      <c r="C49">
        <v>10504.68</v>
      </c>
      <c r="D49">
        <v>39133</v>
      </c>
      <c r="E49" s="1">
        <f t="shared" si="0"/>
        <v>0.2684353359057573</v>
      </c>
    </row>
    <row r="50" spans="1:5" x14ac:dyDescent="0.3">
      <c r="A50" t="s">
        <v>50</v>
      </c>
      <c r="B50" t="s">
        <v>54</v>
      </c>
      <c r="C50">
        <v>15824</v>
      </c>
      <c r="D50">
        <v>48848</v>
      </c>
      <c r="E50" s="1">
        <f t="shared" si="0"/>
        <v>0.323943661971831</v>
      </c>
    </row>
    <row r="51" spans="1:5" x14ac:dyDescent="0.3">
      <c r="A51" t="s">
        <v>50</v>
      </c>
      <c r="B51" t="s">
        <v>55</v>
      </c>
      <c r="C51">
        <v>6588</v>
      </c>
      <c r="D51">
        <v>22806</v>
      </c>
      <c r="E51" s="1">
        <f t="shared" si="0"/>
        <v>0.2888713496448303</v>
      </c>
    </row>
    <row r="52" spans="1:5" x14ac:dyDescent="0.3">
      <c r="A52" t="s">
        <v>50</v>
      </c>
      <c r="B52" t="s">
        <v>56</v>
      </c>
      <c r="C52">
        <v>8446</v>
      </c>
      <c r="D52">
        <v>23759</v>
      </c>
      <c r="E52" s="1">
        <f t="shared" si="0"/>
        <v>0.35548634201776169</v>
      </c>
    </row>
    <row r="53" spans="1:5" x14ac:dyDescent="0.3">
      <c r="A53" t="s">
        <v>50</v>
      </c>
      <c r="B53" t="s">
        <v>57</v>
      </c>
      <c r="C53">
        <v>7397</v>
      </c>
      <c r="D53">
        <v>22026</v>
      </c>
      <c r="E53" s="1">
        <f t="shared" si="0"/>
        <v>0.33583038227549261</v>
      </c>
    </row>
    <row r="54" spans="1:5" x14ac:dyDescent="0.3">
      <c r="A54" t="s">
        <v>50</v>
      </c>
      <c r="B54" t="s">
        <v>58</v>
      </c>
      <c r="C54">
        <v>9865.32</v>
      </c>
      <c r="D54">
        <v>29860</v>
      </c>
      <c r="E54" s="1">
        <f t="shared" si="0"/>
        <v>0.33038580040187543</v>
      </c>
    </row>
    <row r="55" spans="1:5" x14ac:dyDescent="0.3">
      <c r="A55" t="s">
        <v>50</v>
      </c>
      <c r="B55" t="s">
        <v>59</v>
      </c>
      <c r="C55">
        <v>9760</v>
      </c>
      <c r="D55">
        <v>67153</v>
      </c>
      <c r="E55" s="1">
        <f t="shared" si="0"/>
        <v>0.14533974654892559</v>
      </c>
    </row>
    <row r="56" spans="1:5" x14ac:dyDescent="0.3">
      <c r="A56" t="s">
        <v>60</v>
      </c>
      <c r="B56" t="s">
        <v>61</v>
      </c>
      <c r="C56">
        <v>17921.259999999998</v>
      </c>
      <c r="D56">
        <v>80130</v>
      </c>
      <c r="E56" s="1">
        <f t="shared" si="0"/>
        <v>0.22365231498814425</v>
      </c>
    </row>
    <row r="57" spans="1:5" x14ac:dyDescent="0.3">
      <c r="A57" t="s">
        <v>60</v>
      </c>
      <c r="B57" t="s">
        <v>62</v>
      </c>
      <c r="C57">
        <v>12612</v>
      </c>
      <c r="D57">
        <v>66268</v>
      </c>
      <c r="E57" s="1">
        <f t="shared" si="0"/>
        <v>0.19031810225146376</v>
      </c>
    </row>
    <row r="58" spans="1:5" x14ac:dyDescent="0.3">
      <c r="A58" t="s">
        <v>60</v>
      </c>
      <c r="B58" t="s">
        <v>63</v>
      </c>
      <c r="C58">
        <v>24516</v>
      </c>
      <c r="D58">
        <v>72366</v>
      </c>
      <c r="E58" s="1">
        <f t="shared" si="0"/>
        <v>0.3387778791145013</v>
      </c>
    </row>
    <row r="59" spans="1:5" x14ac:dyDescent="0.3">
      <c r="A59" t="s">
        <v>60</v>
      </c>
      <c r="B59" t="s">
        <v>64</v>
      </c>
      <c r="C59">
        <v>4031.5</v>
      </c>
      <c r="D59">
        <v>23709</v>
      </c>
      <c r="E59" s="1">
        <f t="shared" si="0"/>
        <v>0.17004091273356109</v>
      </c>
    </row>
    <row r="60" spans="1:5" x14ac:dyDescent="0.3">
      <c r="A60" t="s">
        <v>60</v>
      </c>
      <c r="B60" t="s">
        <v>65</v>
      </c>
      <c r="C60">
        <v>150733.20000000001</v>
      </c>
      <c r="D60">
        <v>48227</v>
      </c>
      <c r="E60" s="1">
        <f t="shared" si="0"/>
        <v>3.1254940178738053</v>
      </c>
    </row>
    <row r="61" spans="1:5" x14ac:dyDescent="0.3">
      <c r="A61" t="s">
        <v>60</v>
      </c>
      <c r="B61" t="s">
        <v>66</v>
      </c>
      <c r="C61">
        <v>6306.2</v>
      </c>
      <c r="D61">
        <v>31738</v>
      </c>
      <c r="E61" s="1">
        <f t="shared" si="0"/>
        <v>0.19869556997920473</v>
      </c>
    </row>
    <row r="62" spans="1:5" x14ac:dyDescent="0.3">
      <c r="A62" t="s">
        <v>60</v>
      </c>
      <c r="B62" t="s">
        <v>67</v>
      </c>
      <c r="C62">
        <f>2400+540</f>
        <v>2940</v>
      </c>
      <c r="D62">
        <f>22211+6552</f>
        <v>28763</v>
      </c>
      <c r="E62" s="1">
        <f t="shared" si="0"/>
        <v>0.10221465076660988</v>
      </c>
    </row>
    <row r="63" spans="1:5" x14ac:dyDescent="0.3">
      <c r="A63" t="s">
        <v>60</v>
      </c>
      <c r="B63" t="s">
        <v>68</v>
      </c>
      <c r="C63">
        <v>5136</v>
      </c>
      <c r="D63">
        <v>21232</v>
      </c>
      <c r="E63" s="1">
        <f t="shared" si="0"/>
        <v>0.24189902034664656</v>
      </c>
    </row>
    <row r="64" spans="1:5" x14ac:dyDescent="0.3">
      <c r="A64" t="s">
        <v>60</v>
      </c>
      <c r="B64" t="s">
        <v>69</v>
      </c>
      <c r="C64">
        <v>1068</v>
      </c>
      <c r="D64">
        <v>11874</v>
      </c>
      <c r="E64" s="1">
        <f t="shared" si="0"/>
        <v>8.9944416371905006E-2</v>
      </c>
    </row>
    <row r="65" spans="1:5" x14ac:dyDescent="0.3">
      <c r="A65" t="s">
        <v>60</v>
      </c>
      <c r="B65" t="s">
        <v>70</v>
      </c>
      <c r="C65">
        <v>4560</v>
      </c>
      <c r="D65">
        <v>26829</v>
      </c>
      <c r="E65" s="1">
        <f t="shared" si="0"/>
        <v>0.16996533601699654</v>
      </c>
    </row>
    <row r="66" spans="1:5" x14ac:dyDescent="0.3">
      <c r="A66" t="s">
        <v>60</v>
      </c>
      <c r="B66" t="s">
        <v>71</v>
      </c>
      <c r="C66">
        <v>1254</v>
      </c>
      <c r="D66">
        <v>8224</v>
      </c>
      <c r="E66" s="1">
        <f t="shared" si="0"/>
        <v>0.15248054474708173</v>
      </c>
    </row>
    <row r="67" spans="1:5" x14ac:dyDescent="0.3">
      <c r="A67" t="s">
        <v>72</v>
      </c>
      <c r="B67" t="s">
        <v>72</v>
      </c>
      <c r="C67">
        <f>24288+1140+5249.6</f>
        <v>30677.599999999999</v>
      </c>
      <c r="D67">
        <f>141697+12163+10490</f>
        <v>164350</v>
      </c>
      <c r="E67" s="1">
        <f t="shared" ref="E67:E85" si="1">C67/D67</f>
        <v>0.18666017645269242</v>
      </c>
    </row>
    <row r="68" spans="1:5" x14ac:dyDescent="0.3">
      <c r="A68" t="s">
        <v>72</v>
      </c>
      <c r="B68" t="s">
        <v>73</v>
      </c>
      <c r="C68">
        <v>8298</v>
      </c>
      <c r="D68">
        <v>34808</v>
      </c>
      <c r="E68" s="1">
        <f t="shared" si="1"/>
        <v>0.23839347276488163</v>
      </c>
    </row>
    <row r="69" spans="1:5" x14ac:dyDescent="0.3">
      <c r="A69" t="s">
        <v>72</v>
      </c>
      <c r="B69" t="s">
        <v>74</v>
      </c>
      <c r="C69">
        <v>3905</v>
      </c>
      <c r="D69">
        <v>50562</v>
      </c>
      <c r="E69" s="1">
        <f t="shared" si="1"/>
        <v>7.7231913294569049E-2</v>
      </c>
    </row>
    <row r="70" spans="1:5" x14ac:dyDescent="0.3">
      <c r="A70" t="s">
        <v>72</v>
      </c>
      <c r="B70" t="s">
        <v>75</v>
      </c>
      <c r="C70">
        <v>4855</v>
      </c>
      <c r="D70">
        <v>16395</v>
      </c>
      <c r="E70" s="1">
        <f t="shared" si="1"/>
        <v>0.296126867947545</v>
      </c>
    </row>
    <row r="71" spans="1:5" x14ac:dyDescent="0.3">
      <c r="A71" t="s">
        <v>72</v>
      </c>
      <c r="B71" t="s">
        <v>76</v>
      </c>
      <c r="C71">
        <v>9841.2199999999993</v>
      </c>
      <c r="D71">
        <v>36088</v>
      </c>
      <c r="E71" s="1">
        <f t="shared" si="1"/>
        <v>0.27270062070494344</v>
      </c>
    </row>
    <row r="72" spans="1:5" x14ac:dyDescent="0.3">
      <c r="A72" t="s">
        <v>72</v>
      </c>
      <c r="B72" t="s">
        <v>77</v>
      </c>
      <c r="C72">
        <v>11433.71</v>
      </c>
      <c r="D72">
        <v>32416</v>
      </c>
      <c r="E72" s="1">
        <f t="shared" si="1"/>
        <v>0.35271810217176702</v>
      </c>
    </row>
    <row r="73" spans="1:5" x14ac:dyDescent="0.3">
      <c r="A73" t="s">
        <v>72</v>
      </c>
      <c r="B73" t="s">
        <v>78</v>
      </c>
      <c r="C73">
        <v>5208</v>
      </c>
      <c r="D73">
        <v>44086</v>
      </c>
      <c r="E73" s="1">
        <f t="shared" si="1"/>
        <v>0.11813274055255636</v>
      </c>
    </row>
    <row r="74" spans="1:5" x14ac:dyDescent="0.3">
      <c r="A74" t="s">
        <v>72</v>
      </c>
      <c r="B74" t="s">
        <v>79</v>
      </c>
      <c r="C74">
        <v>4479</v>
      </c>
      <c r="D74">
        <v>46351</v>
      </c>
      <c r="E74" s="1">
        <f t="shared" si="1"/>
        <v>9.6632219369592889E-2</v>
      </c>
    </row>
    <row r="75" spans="1:5" x14ac:dyDescent="0.3">
      <c r="A75" t="s">
        <v>72</v>
      </c>
      <c r="B75" t="s">
        <v>80</v>
      </c>
      <c r="C75">
        <v>5285</v>
      </c>
      <c r="D75">
        <v>20068</v>
      </c>
      <c r="E75" s="1">
        <f t="shared" si="1"/>
        <v>0.26335459437911102</v>
      </c>
    </row>
    <row r="76" spans="1:5" x14ac:dyDescent="0.3">
      <c r="A76" t="s">
        <v>72</v>
      </c>
      <c r="B76" t="s">
        <v>81</v>
      </c>
      <c r="C76">
        <v>6650</v>
      </c>
      <c r="D76">
        <v>51023</v>
      </c>
      <c r="E76" s="1">
        <f t="shared" si="1"/>
        <v>0.13033337906434353</v>
      </c>
    </row>
    <row r="77" spans="1:5" x14ac:dyDescent="0.3">
      <c r="A77" t="s">
        <v>72</v>
      </c>
      <c r="B77" t="s">
        <v>82</v>
      </c>
      <c r="C77">
        <v>16475</v>
      </c>
      <c r="D77">
        <v>26672</v>
      </c>
      <c r="E77" s="1">
        <f t="shared" si="1"/>
        <v>0.61768896220755853</v>
      </c>
    </row>
    <row r="78" spans="1:5" x14ac:dyDescent="0.3">
      <c r="A78" t="s">
        <v>72</v>
      </c>
      <c r="B78" t="s">
        <v>83</v>
      </c>
      <c r="C78" t="s">
        <v>41</v>
      </c>
      <c r="D78" t="s">
        <v>84</v>
      </c>
      <c r="E78" s="1" t="e">
        <f t="shared" si="1"/>
        <v>#VALUE!</v>
      </c>
    </row>
    <row r="79" spans="1:5" x14ac:dyDescent="0.3">
      <c r="A79" t="s">
        <v>72</v>
      </c>
      <c r="B79" t="s">
        <v>85</v>
      </c>
      <c r="C79" t="s">
        <v>41</v>
      </c>
      <c r="D79" t="s">
        <v>84</v>
      </c>
      <c r="E79" s="1" t="e">
        <f t="shared" si="1"/>
        <v>#VALUE!</v>
      </c>
    </row>
    <row r="80" spans="1:5" x14ac:dyDescent="0.3">
      <c r="A80" t="s">
        <v>86</v>
      </c>
      <c r="B80" t="s">
        <v>86</v>
      </c>
      <c r="C80">
        <v>20400</v>
      </c>
      <c r="D80">
        <v>116457</v>
      </c>
      <c r="E80" s="1">
        <f t="shared" si="1"/>
        <v>0.1751719518792344</v>
      </c>
    </row>
    <row r="81" spans="1:5" x14ac:dyDescent="0.3">
      <c r="A81" t="s">
        <v>86</v>
      </c>
      <c r="B81" t="s">
        <v>87</v>
      </c>
      <c r="C81">
        <v>22912.799999999999</v>
      </c>
      <c r="D81">
        <v>146320</v>
      </c>
      <c r="E81" s="1">
        <f t="shared" si="1"/>
        <v>0.15659376708583925</v>
      </c>
    </row>
    <row r="82" spans="1:5" x14ac:dyDescent="0.3">
      <c r="A82" t="s">
        <v>86</v>
      </c>
      <c r="B82" t="s">
        <v>88</v>
      </c>
      <c r="C82">
        <v>6627.6</v>
      </c>
      <c r="D82">
        <v>63765</v>
      </c>
      <c r="E82" s="1">
        <f t="shared" si="1"/>
        <v>0.10393789696541991</v>
      </c>
    </row>
    <row r="83" spans="1:5" x14ac:dyDescent="0.3">
      <c r="A83" t="s">
        <v>86</v>
      </c>
      <c r="B83" t="s">
        <v>89</v>
      </c>
      <c r="C83">
        <v>7860</v>
      </c>
      <c r="D83">
        <v>48906</v>
      </c>
      <c r="E83" s="1">
        <f t="shared" si="1"/>
        <v>0.1607164765059502</v>
      </c>
    </row>
    <row r="84" spans="1:5" x14ac:dyDescent="0.3">
      <c r="A84" t="s">
        <v>86</v>
      </c>
      <c r="B84" t="s">
        <v>90</v>
      </c>
      <c r="C84">
        <v>5892</v>
      </c>
      <c r="D84">
        <v>45329</v>
      </c>
      <c r="E84" s="1">
        <f t="shared" si="1"/>
        <v>0.12998301308213286</v>
      </c>
    </row>
    <row r="85" spans="1:5" x14ac:dyDescent="0.3">
      <c r="A85" t="s">
        <v>86</v>
      </c>
      <c r="B85" t="s">
        <v>91</v>
      </c>
      <c r="C85">
        <v>8311.2000000000007</v>
      </c>
      <c r="D85">
        <v>49606</v>
      </c>
      <c r="E85" s="1">
        <f t="shared" si="1"/>
        <v>0.16754424867959522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EB0F-2E17-4F0E-8B19-72F1D0DA378D}">
  <dimension ref="A1:F24"/>
  <sheetViews>
    <sheetView workbookViewId="0">
      <selection activeCell="B23" sqref="B23"/>
    </sheetView>
  </sheetViews>
  <sheetFormatPr defaultRowHeight="14.4" x14ac:dyDescent="0.3"/>
  <cols>
    <col min="2" max="2" width="18.44140625" bestFit="1" customWidth="1"/>
    <col min="3" max="3" width="26.21875" bestFit="1" customWidth="1"/>
    <col min="4" max="4" width="30.88671875" bestFit="1" customWidth="1"/>
    <col min="5" max="5" width="13.33203125" bestFit="1" customWidth="1"/>
    <col min="6" max="6" width="20.44140625" bestFit="1" customWidth="1"/>
    <col min="7" max="8" width="12.44140625" bestFit="1" customWidth="1"/>
  </cols>
  <sheetData>
    <row r="1" spans="1:6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6" x14ac:dyDescent="0.3">
      <c r="A2" t="s">
        <v>5</v>
      </c>
      <c r="B2" t="s">
        <v>5</v>
      </c>
      <c r="C2" s="4">
        <v>895650.17937000608</v>
      </c>
      <c r="D2" s="4">
        <f>(100/$C$22)*C2</f>
        <v>53.917986898290522</v>
      </c>
      <c r="E2" s="1">
        <f>D2/100</f>
        <v>0.53917986898290526</v>
      </c>
      <c r="F2" s="4">
        <f>E2*$C$24</f>
        <v>141072.73495257067</v>
      </c>
    </row>
    <row r="3" spans="1:6" x14ac:dyDescent="0.3">
      <c r="A3" t="s">
        <v>5</v>
      </c>
      <c r="B3" t="s">
        <v>6</v>
      </c>
      <c r="C3" s="4">
        <v>76027.71411000019</v>
      </c>
      <c r="D3" s="4">
        <f t="shared" ref="D3:D21" si="0">(100/$C$22)*C3</f>
        <v>4.5768553255617705</v>
      </c>
      <c r="E3" s="1">
        <f t="shared" ref="E3:E22" si="1">D3/100</f>
        <v>4.5768553255617704E-2</v>
      </c>
      <c r="F3" s="4">
        <f t="shared" ref="F3:F21" si="2">E3*$C$24</f>
        <v>11975.029770254798</v>
      </c>
    </row>
    <row r="4" spans="1:6" x14ac:dyDescent="0.3">
      <c r="A4" t="s">
        <v>5</v>
      </c>
      <c r="B4" t="s">
        <v>7</v>
      </c>
      <c r="C4" s="4">
        <v>149339.56368999954</v>
      </c>
      <c r="D4" s="4">
        <f t="shared" si="0"/>
        <v>8.9902160730851417</v>
      </c>
      <c r="E4" s="1">
        <f t="shared" si="1"/>
        <v>8.9902160730851416E-2</v>
      </c>
      <c r="F4" s="4">
        <f t="shared" si="2"/>
        <v>23522.287129100725</v>
      </c>
    </row>
    <row r="5" spans="1:6" x14ac:dyDescent="0.3">
      <c r="A5" t="s">
        <v>5</v>
      </c>
      <c r="B5" t="s">
        <v>8</v>
      </c>
      <c r="C5" s="4">
        <v>6392.3780000000015</v>
      </c>
      <c r="D5" s="4">
        <f t="shared" si="0"/>
        <v>0.38482005719616441</v>
      </c>
      <c r="E5" s="1">
        <f t="shared" si="1"/>
        <v>3.8482005719616443E-3</v>
      </c>
      <c r="F5" s="4">
        <f t="shared" si="2"/>
        <v>1006.8554309283528</v>
      </c>
    </row>
    <row r="6" spans="1:6" x14ac:dyDescent="0.3">
      <c r="A6" t="s">
        <v>5</v>
      </c>
      <c r="B6" t="s">
        <v>9</v>
      </c>
      <c r="C6" s="4">
        <v>5180.4714999999987</v>
      </c>
      <c r="D6" s="4">
        <f t="shared" si="0"/>
        <v>0.31186349413834707</v>
      </c>
      <c r="E6" s="1">
        <f t="shared" si="1"/>
        <v>3.1186349413834706E-3</v>
      </c>
      <c r="F6" s="4">
        <f t="shared" si="2"/>
        <v>815.96956008304699</v>
      </c>
    </row>
    <row r="7" spans="1:6" x14ac:dyDescent="0.3">
      <c r="A7" t="s">
        <v>5</v>
      </c>
      <c r="B7" t="s">
        <v>10</v>
      </c>
      <c r="C7" s="4">
        <v>25816.296499999997</v>
      </c>
      <c r="D7" s="4">
        <f t="shared" si="0"/>
        <v>1.5541366132796177</v>
      </c>
      <c r="E7" s="1">
        <f t="shared" si="1"/>
        <v>1.5541366132796178E-2</v>
      </c>
      <c r="F7" s="4">
        <f t="shared" si="2"/>
        <v>4066.2924403847237</v>
      </c>
    </row>
    <row r="8" spans="1:6" x14ac:dyDescent="0.3">
      <c r="A8" t="s">
        <v>5</v>
      </c>
      <c r="B8" t="s">
        <v>11</v>
      </c>
      <c r="C8" s="4">
        <v>13419.194000000005</v>
      </c>
      <c r="D8" s="4">
        <f t="shared" si="0"/>
        <v>0.8078331729766961</v>
      </c>
      <c r="E8" s="1">
        <f t="shared" si="1"/>
        <v>8.0783317297669615E-3</v>
      </c>
      <c r="F8" s="4">
        <f t="shared" si="2"/>
        <v>2113.6403944793578</v>
      </c>
    </row>
    <row r="9" spans="1:6" x14ac:dyDescent="0.3">
      <c r="A9" t="s">
        <v>5</v>
      </c>
      <c r="B9" t="s">
        <v>12</v>
      </c>
      <c r="C9" s="4">
        <v>72633.384990000108</v>
      </c>
      <c r="D9" s="4">
        <f t="shared" si="0"/>
        <v>4.3725172957861478</v>
      </c>
      <c r="E9" s="1">
        <f t="shared" si="1"/>
        <v>4.3725172957861477E-2</v>
      </c>
      <c r="F9" s="4">
        <f t="shared" si="2"/>
        <v>11440.393253323175</v>
      </c>
    </row>
    <row r="10" spans="1:6" x14ac:dyDescent="0.3">
      <c r="A10" t="s">
        <v>5</v>
      </c>
      <c r="B10" t="s">
        <v>13</v>
      </c>
      <c r="C10" s="4">
        <v>43676.531930000128</v>
      </c>
      <c r="D10" s="4">
        <f t="shared" si="0"/>
        <v>2.6293197172371139</v>
      </c>
      <c r="E10" s="1">
        <f t="shared" si="1"/>
        <v>2.6293197172371139E-2</v>
      </c>
      <c r="F10" s="4">
        <f t="shared" si="2"/>
        <v>6879.4356932328201</v>
      </c>
    </row>
    <row r="11" spans="1:6" x14ac:dyDescent="0.3">
      <c r="A11" t="s">
        <v>5</v>
      </c>
      <c r="B11" t="s">
        <v>14</v>
      </c>
      <c r="C11" s="4">
        <v>23988.582999999988</v>
      </c>
      <c r="D11" s="4">
        <f t="shared" si="0"/>
        <v>1.4441085746360636</v>
      </c>
      <c r="E11" s="1">
        <f t="shared" si="1"/>
        <v>1.4441085746360636E-2</v>
      </c>
      <c r="F11" s="4">
        <f t="shared" si="2"/>
        <v>3778.4115823290708</v>
      </c>
    </row>
    <row r="12" spans="1:6" x14ac:dyDescent="0.3">
      <c r="A12" t="s">
        <v>5</v>
      </c>
      <c r="B12" t="s">
        <v>15</v>
      </c>
      <c r="C12" s="4">
        <v>19671.440960000007</v>
      </c>
      <c r="D12" s="4">
        <f t="shared" si="0"/>
        <v>1.1842173656436106</v>
      </c>
      <c r="E12" s="1">
        <f t="shared" si="1"/>
        <v>1.1842173656436106E-2</v>
      </c>
      <c r="F12" s="4">
        <f t="shared" si="2"/>
        <v>3098.4239612805204</v>
      </c>
    </row>
    <row r="13" spans="1:6" x14ac:dyDescent="0.3">
      <c r="A13" t="s">
        <v>5</v>
      </c>
      <c r="B13" t="s">
        <v>16</v>
      </c>
      <c r="C13" s="4">
        <v>6272.5689999999995</v>
      </c>
      <c r="D13" s="4">
        <f t="shared" si="0"/>
        <v>0.37760757598297334</v>
      </c>
      <c r="E13" s="1">
        <f t="shared" si="1"/>
        <v>3.7760757598297333E-3</v>
      </c>
      <c r="F13" s="4">
        <f t="shared" si="2"/>
        <v>987.98446580018026</v>
      </c>
    </row>
    <row r="14" spans="1:6" x14ac:dyDescent="0.3">
      <c r="A14" t="s">
        <v>5</v>
      </c>
      <c r="B14" t="s">
        <v>17</v>
      </c>
      <c r="C14" s="4">
        <v>150996.07871000009</v>
      </c>
      <c r="D14" s="4">
        <f t="shared" si="0"/>
        <v>9.0899379926498032</v>
      </c>
      <c r="E14" s="1">
        <f t="shared" si="1"/>
        <v>9.0899379926498033E-2</v>
      </c>
      <c r="F14" s="4">
        <f t="shared" si="2"/>
        <v>23783.202729570839</v>
      </c>
    </row>
    <row r="15" spans="1:6" x14ac:dyDescent="0.3">
      <c r="A15" t="s">
        <v>5</v>
      </c>
      <c r="B15" t="s">
        <v>18</v>
      </c>
      <c r="C15" s="4">
        <v>53793.81754000036</v>
      </c>
      <c r="D15" s="4">
        <f t="shared" si="0"/>
        <v>3.2383785725035295</v>
      </c>
      <c r="E15" s="1">
        <f t="shared" si="1"/>
        <v>3.2383785725035294E-2</v>
      </c>
      <c r="F15" s="4">
        <f t="shared" si="2"/>
        <v>8472.9966438965639</v>
      </c>
    </row>
    <row r="16" spans="1:6" x14ac:dyDescent="0.3">
      <c r="A16" t="s">
        <v>5</v>
      </c>
      <c r="B16" t="s">
        <v>19</v>
      </c>
      <c r="C16" s="4">
        <v>34188.084209999986</v>
      </c>
      <c r="D16" s="4">
        <f t="shared" si="0"/>
        <v>2.0581167948953389</v>
      </c>
      <c r="E16" s="1">
        <f t="shared" si="1"/>
        <v>2.0581167948953389E-2</v>
      </c>
      <c r="F16" s="4">
        <f t="shared" si="2"/>
        <v>5384.9222088985252</v>
      </c>
    </row>
    <row r="17" spans="1:6" x14ac:dyDescent="0.3">
      <c r="A17" t="s">
        <v>5</v>
      </c>
      <c r="B17" t="s">
        <v>20</v>
      </c>
      <c r="C17" s="4">
        <v>619.5</v>
      </c>
      <c r="D17" s="4">
        <f t="shared" si="0"/>
        <v>3.7293793551167312E-2</v>
      </c>
      <c r="E17" s="1">
        <f t="shared" si="1"/>
        <v>3.7293793551167312E-4</v>
      </c>
      <c r="F17" s="4">
        <f t="shared" si="2"/>
        <v>97.576667002501168</v>
      </c>
    </row>
    <row r="18" spans="1:6" x14ac:dyDescent="0.3">
      <c r="A18" t="s">
        <v>5</v>
      </c>
      <c r="B18" t="s">
        <v>21</v>
      </c>
      <c r="C18" s="4">
        <v>1540.1100000000001</v>
      </c>
      <c r="D18" s="4">
        <f t="shared" si="0"/>
        <v>9.2714357362531544E-2</v>
      </c>
      <c r="E18" s="1">
        <f t="shared" si="1"/>
        <v>9.2714357362531539E-4</v>
      </c>
      <c r="F18" s="4">
        <f t="shared" si="2"/>
        <v>242.58079195677493</v>
      </c>
    </row>
    <row r="19" spans="1:6" x14ac:dyDescent="0.3">
      <c r="A19" t="s">
        <v>5</v>
      </c>
      <c r="B19" t="s">
        <v>22</v>
      </c>
      <c r="C19" s="4">
        <v>34489.125560000342</v>
      </c>
      <c r="D19" s="4">
        <f t="shared" si="0"/>
        <v>2.0762394324373536</v>
      </c>
      <c r="E19" s="1">
        <f t="shared" si="1"/>
        <v>2.0762394324373535E-2</v>
      </c>
      <c r="F19" s="4">
        <f t="shared" si="2"/>
        <v>5432.3388538750687</v>
      </c>
    </row>
    <row r="20" spans="1:6" x14ac:dyDescent="0.3">
      <c r="A20" t="s">
        <v>5</v>
      </c>
      <c r="B20" t="s">
        <v>23</v>
      </c>
      <c r="C20" s="4">
        <v>43653.846449999983</v>
      </c>
      <c r="D20" s="4">
        <f t="shared" si="0"/>
        <v>2.6279540552391563</v>
      </c>
      <c r="E20" s="1">
        <f t="shared" si="1"/>
        <v>2.6279540552391564E-2</v>
      </c>
      <c r="F20" s="4">
        <f t="shared" si="2"/>
        <v>6875.8625317674996</v>
      </c>
    </row>
    <row r="21" spans="1:6" x14ac:dyDescent="0.3">
      <c r="A21" t="s">
        <v>5</v>
      </c>
      <c r="B21" t="s">
        <v>24</v>
      </c>
      <c r="C21" s="4">
        <v>3785.440000000001</v>
      </c>
      <c r="D21" s="4">
        <f t="shared" si="0"/>
        <v>0.22788283754694241</v>
      </c>
      <c r="E21" s="1">
        <f t="shared" si="1"/>
        <v>2.2788283754694243E-3</v>
      </c>
      <c r="F21" s="4">
        <f t="shared" si="2"/>
        <v>596.23990046480731</v>
      </c>
    </row>
    <row r="22" spans="1:6" x14ac:dyDescent="0.3">
      <c r="B22" t="s">
        <v>104</v>
      </c>
      <c r="C22" s="4">
        <f>SUM(C2:C21)</f>
        <v>1661134.3095200069</v>
      </c>
      <c r="D22" s="4">
        <f>SUM(D2:D21)</f>
        <v>100.00000000000003</v>
      </c>
      <c r="E22" s="1">
        <f t="shared" si="1"/>
        <v>1.0000000000000002</v>
      </c>
    </row>
    <row r="24" spans="1:6" x14ac:dyDescent="0.3">
      <c r="B24" t="s">
        <v>103</v>
      </c>
      <c r="C24">
        <v>261643.17896120003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6525-EB20-4DA6-B643-0D22B365886A}">
  <dimension ref="A1:F24"/>
  <sheetViews>
    <sheetView workbookViewId="0">
      <selection activeCell="C20" sqref="C20"/>
    </sheetView>
  </sheetViews>
  <sheetFormatPr defaultRowHeight="14.4" x14ac:dyDescent="0.3"/>
  <cols>
    <col min="2" max="2" width="10.88671875" bestFit="1" customWidth="1"/>
    <col min="3" max="3" width="26.21875" bestFit="1" customWidth="1"/>
    <col min="4" max="4" width="30.88671875" bestFit="1" customWidth="1"/>
    <col min="5" max="5" width="8" bestFit="1" customWidth="1"/>
    <col min="6" max="6" width="13.21875" bestFit="1" customWidth="1"/>
    <col min="7" max="8" width="12.44140625" bestFit="1" customWidth="1"/>
  </cols>
  <sheetData>
    <row r="1" spans="1:6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6" x14ac:dyDescent="0.3">
      <c r="A2" t="s">
        <v>25</v>
      </c>
      <c r="B2" t="s">
        <v>25</v>
      </c>
      <c r="C2" s="4">
        <v>139847.76856200001</v>
      </c>
      <c r="D2" s="4">
        <f>(100/$C$22)*C2</f>
        <v>39.013586472371735</v>
      </c>
      <c r="E2" s="1">
        <f>D2/100</f>
        <v>0.39013586472371736</v>
      </c>
      <c r="F2" s="4">
        <f>E2*$C$24</f>
        <v>22008.256112267885</v>
      </c>
    </row>
    <row r="3" spans="1:6" x14ac:dyDescent="0.3">
      <c r="A3" t="s">
        <v>25</v>
      </c>
      <c r="B3" t="s">
        <v>26</v>
      </c>
      <c r="C3" s="4">
        <v>34627.06393000004</v>
      </c>
      <c r="D3" s="4">
        <f t="shared" ref="D3:D17" si="0">(100/$C$22)*C3</f>
        <v>9.6599750343423061</v>
      </c>
      <c r="E3" s="1">
        <f t="shared" ref="E3:E17" si="1">D3/100</f>
        <v>9.6599750343423066E-2</v>
      </c>
      <c r="F3" s="4">
        <f t="shared" ref="F3:F17" si="2">E3*$C$24</f>
        <v>5449.3632556564799</v>
      </c>
    </row>
    <row r="4" spans="1:6" x14ac:dyDescent="0.3">
      <c r="A4" t="s">
        <v>25</v>
      </c>
      <c r="B4" t="s">
        <v>27</v>
      </c>
      <c r="C4" s="4">
        <v>22534.834120000069</v>
      </c>
      <c r="D4" s="4">
        <f t="shared" si="0"/>
        <v>6.2865836803924937</v>
      </c>
      <c r="E4" s="1">
        <f t="shared" si="1"/>
        <v>6.2865836803924935E-2</v>
      </c>
      <c r="F4" s="4">
        <f t="shared" si="2"/>
        <v>3546.3733591184127</v>
      </c>
    </row>
    <row r="5" spans="1:6" x14ac:dyDescent="0.3">
      <c r="A5" t="s">
        <v>25</v>
      </c>
      <c r="B5" t="s">
        <v>28</v>
      </c>
      <c r="C5" s="4">
        <v>1516.79</v>
      </c>
      <c r="D5" s="4">
        <f t="shared" si="0"/>
        <v>0.42314166635554101</v>
      </c>
      <c r="E5" s="1">
        <f t="shared" si="1"/>
        <v>4.2314166635554103E-3</v>
      </c>
      <c r="F5" s="4">
        <f t="shared" si="2"/>
        <v>238.70171924643401</v>
      </c>
    </row>
    <row r="6" spans="1:6" x14ac:dyDescent="0.3">
      <c r="A6" t="s">
        <v>25</v>
      </c>
      <c r="B6" t="s">
        <v>29</v>
      </c>
      <c r="C6" s="4">
        <v>6575.3093299999964</v>
      </c>
      <c r="D6" s="4">
        <f t="shared" si="0"/>
        <v>1.8343260086757787</v>
      </c>
      <c r="E6" s="1">
        <f t="shared" si="1"/>
        <v>1.8343260086757785E-2</v>
      </c>
      <c r="F6" s="4">
        <f t="shared" si="2"/>
        <v>1034.7758368977359</v>
      </c>
    </row>
    <row r="7" spans="1:6" x14ac:dyDescent="0.3">
      <c r="A7" t="s">
        <v>25</v>
      </c>
      <c r="B7" t="s">
        <v>30</v>
      </c>
      <c r="C7" s="4">
        <v>16890.841020000011</v>
      </c>
      <c r="D7" s="4">
        <f t="shared" si="0"/>
        <v>4.7120686550869468</v>
      </c>
      <c r="E7" s="1">
        <f t="shared" si="1"/>
        <v>4.712068655086947E-2</v>
      </c>
      <c r="F7" s="4">
        <f t="shared" si="2"/>
        <v>2658.1615062020405</v>
      </c>
    </row>
    <row r="8" spans="1:6" x14ac:dyDescent="0.3">
      <c r="A8" t="s">
        <v>25</v>
      </c>
      <c r="B8" t="s">
        <v>31</v>
      </c>
      <c r="C8" s="4">
        <v>9959.721660000012</v>
      </c>
      <c r="D8" s="4">
        <f t="shared" si="0"/>
        <v>2.7784816748856338</v>
      </c>
      <c r="E8" s="1">
        <f t="shared" si="1"/>
        <v>2.7784816748856338E-2</v>
      </c>
      <c r="F8" s="4">
        <f t="shared" si="2"/>
        <v>1567.3907946768838</v>
      </c>
    </row>
    <row r="9" spans="1:6" x14ac:dyDescent="0.3">
      <c r="A9" t="s">
        <v>25</v>
      </c>
      <c r="B9" t="s">
        <v>32</v>
      </c>
      <c r="C9" s="4">
        <v>9056.2008200000146</v>
      </c>
      <c r="D9" s="4">
        <f t="shared" si="0"/>
        <v>2.5264248220420908</v>
      </c>
      <c r="E9" s="1">
        <f t="shared" si="1"/>
        <v>2.5264248220420907E-2</v>
      </c>
      <c r="F9" s="4">
        <f t="shared" si="2"/>
        <v>1425.2010532604834</v>
      </c>
    </row>
    <row r="10" spans="1:6" x14ac:dyDescent="0.3">
      <c r="A10" t="s">
        <v>25</v>
      </c>
      <c r="B10" t="s">
        <v>33</v>
      </c>
      <c r="C10" s="4">
        <v>9039.6819100000012</v>
      </c>
      <c r="D10" s="4">
        <f t="shared" si="0"/>
        <v>2.521816511660441</v>
      </c>
      <c r="E10" s="1">
        <f t="shared" si="1"/>
        <v>2.5218165116604411E-2</v>
      </c>
      <c r="F10" s="4">
        <f t="shared" si="2"/>
        <v>1422.6014236366857</v>
      </c>
    </row>
    <row r="11" spans="1:6" x14ac:dyDescent="0.3">
      <c r="A11" t="s">
        <v>25</v>
      </c>
      <c r="B11" t="s">
        <v>34</v>
      </c>
      <c r="C11" s="4">
        <v>81200.873399999691</v>
      </c>
      <c r="D11" s="4">
        <f t="shared" si="0"/>
        <v>22.652755411099225</v>
      </c>
      <c r="E11" s="1">
        <f t="shared" si="1"/>
        <v>0.22652755411099224</v>
      </c>
      <c r="F11" s="4">
        <f t="shared" si="2"/>
        <v>12778.821118870743</v>
      </c>
    </row>
    <row r="12" spans="1:6" x14ac:dyDescent="0.3">
      <c r="A12" t="s">
        <v>25</v>
      </c>
      <c r="B12" t="s">
        <v>35</v>
      </c>
      <c r="C12" s="4">
        <v>2326.8359999999998</v>
      </c>
      <c r="D12" s="4">
        <f t="shared" si="0"/>
        <v>0.64912167299102808</v>
      </c>
      <c r="E12" s="1">
        <f t="shared" si="1"/>
        <v>6.4912167299102808E-3</v>
      </c>
      <c r="F12" s="4">
        <f t="shared" si="2"/>
        <v>366.18104919237032</v>
      </c>
    </row>
    <row r="13" spans="1:6" x14ac:dyDescent="0.3">
      <c r="A13" t="s">
        <v>25</v>
      </c>
      <c r="B13" t="s">
        <v>36</v>
      </c>
      <c r="C13" s="4">
        <v>12586.9764</v>
      </c>
      <c r="D13" s="4">
        <f t="shared" si="0"/>
        <v>3.5114117104370868</v>
      </c>
      <c r="E13" s="1">
        <f t="shared" si="1"/>
        <v>3.5114117104370866E-2</v>
      </c>
      <c r="F13" s="4">
        <f t="shared" si="2"/>
        <v>1980.8496276968403</v>
      </c>
    </row>
    <row r="14" spans="1:6" x14ac:dyDescent="0.3">
      <c r="A14" t="s">
        <v>25</v>
      </c>
      <c r="B14" t="s">
        <v>37</v>
      </c>
      <c r="C14" s="4">
        <v>7208.7300000000041</v>
      </c>
      <c r="D14" s="4">
        <f t="shared" si="0"/>
        <v>2.011032525601554</v>
      </c>
      <c r="E14" s="1">
        <f t="shared" si="1"/>
        <v>2.011032525601554E-2</v>
      </c>
      <c r="F14" s="4">
        <f t="shared" si="2"/>
        <v>1134.4591173355225</v>
      </c>
    </row>
    <row r="15" spans="1:6" x14ac:dyDescent="0.3">
      <c r="A15" t="s">
        <v>25</v>
      </c>
      <c r="B15" t="s">
        <v>38</v>
      </c>
      <c r="C15" s="4">
        <v>2556.3840000000023</v>
      </c>
      <c r="D15" s="4">
        <f t="shared" si="0"/>
        <v>0.71315909625237794</v>
      </c>
      <c r="E15" s="1">
        <f t="shared" si="1"/>
        <v>7.1315909625237796E-3</v>
      </c>
      <c r="F15" s="4">
        <f t="shared" si="2"/>
        <v>402.30569548459346</v>
      </c>
    </row>
    <row r="16" spans="1:6" x14ac:dyDescent="0.3">
      <c r="A16" t="s">
        <v>25</v>
      </c>
      <c r="B16" t="s">
        <v>39</v>
      </c>
      <c r="C16" s="4">
        <v>2459.0539999999996</v>
      </c>
      <c r="D16" s="4">
        <f t="shared" si="0"/>
        <v>0.68600676904400637</v>
      </c>
      <c r="E16" s="1">
        <f t="shared" si="1"/>
        <v>6.8600676904400637E-3</v>
      </c>
      <c r="F16" s="4">
        <f t="shared" si="2"/>
        <v>386.98858610606635</v>
      </c>
    </row>
    <row r="17" spans="1:6" x14ac:dyDescent="0.3">
      <c r="A17" t="s">
        <v>25</v>
      </c>
      <c r="B17" t="s">
        <v>40</v>
      </c>
      <c r="C17" s="4">
        <v>72.08</v>
      </c>
      <c r="D17" s="4">
        <f t="shared" si="0"/>
        <v>2.0108288761731943E-2</v>
      </c>
      <c r="E17" s="1">
        <f t="shared" si="1"/>
        <v>2.0108288761731943E-4</v>
      </c>
      <c r="F17" s="4">
        <f t="shared" si="2"/>
        <v>11.343442350808589</v>
      </c>
    </row>
    <row r="22" spans="1:6" x14ac:dyDescent="0.3">
      <c r="B22" t="s">
        <v>104</v>
      </c>
      <c r="C22" s="4">
        <f>SUM(C2:C17)</f>
        <v>358459.1451519999</v>
      </c>
    </row>
    <row r="24" spans="1:6" x14ac:dyDescent="0.3">
      <c r="B24" t="s">
        <v>103</v>
      </c>
      <c r="C24">
        <v>56411.773697999997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5E5B-9084-462C-B118-2B410FAD980E}">
  <dimension ref="A1:H24"/>
  <sheetViews>
    <sheetView workbookViewId="0">
      <selection activeCell="D11" sqref="D11"/>
    </sheetView>
  </sheetViews>
  <sheetFormatPr defaultRowHeight="14.4" x14ac:dyDescent="0.3"/>
  <cols>
    <col min="2" max="2" width="10.88671875" bestFit="1" customWidth="1"/>
    <col min="3" max="3" width="26.21875" bestFit="1" customWidth="1"/>
    <col min="4" max="4" width="30.88671875" bestFit="1" customWidth="1"/>
    <col min="5" max="5" width="12.21875" bestFit="1" customWidth="1"/>
    <col min="6" max="6" width="13.21875" bestFit="1" customWidth="1"/>
    <col min="7" max="8" width="12.44140625" bestFit="1" customWidth="1"/>
  </cols>
  <sheetData>
    <row r="1" spans="1:8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8" x14ac:dyDescent="0.3">
      <c r="A2" t="s">
        <v>42</v>
      </c>
      <c r="B2" t="s">
        <v>42</v>
      </c>
      <c r="C2" s="4">
        <v>279479.68284999265</v>
      </c>
      <c r="D2" s="4">
        <f>(100/$C$22)*C2</f>
        <v>68.699796868512976</v>
      </c>
      <c r="E2" s="1">
        <f>D2/100</f>
        <v>0.68699796868512975</v>
      </c>
      <c r="F2" s="4">
        <f>E2*$C$24</f>
        <v>43922.077132511396</v>
      </c>
      <c r="G2" s="3"/>
      <c r="H2" s="3"/>
    </row>
    <row r="3" spans="1:8" x14ac:dyDescent="0.3">
      <c r="A3" t="s">
        <v>42</v>
      </c>
      <c r="B3" t="s">
        <v>43</v>
      </c>
      <c r="C3" s="4">
        <v>12068.735850000035</v>
      </c>
      <c r="D3" s="4">
        <f t="shared" ref="D3:D9" si="0">(100/$C$22)*C3</f>
        <v>2.9666546523160422</v>
      </c>
      <c r="E3" s="1">
        <f t="shared" ref="E3:E10" si="1">D3/100</f>
        <v>2.9666546523160423E-2</v>
      </c>
      <c r="F3" s="4">
        <f t="shared" ref="F3:F10" si="2">E3*$C$24</f>
        <v>1896.68151004781</v>
      </c>
    </row>
    <row r="4" spans="1:8" x14ac:dyDescent="0.3">
      <c r="A4" t="s">
        <v>42</v>
      </c>
      <c r="B4" t="s">
        <v>44</v>
      </c>
      <c r="C4" s="4">
        <v>47204.721559999329</v>
      </c>
      <c r="D4" s="4">
        <f t="shared" si="0"/>
        <v>11.603543947583788</v>
      </c>
      <c r="E4" s="1">
        <f t="shared" si="1"/>
        <v>0.11603543947583787</v>
      </c>
      <c r="F4" s="4">
        <f t="shared" si="2"/>
        <v>7418.5336130134683</v>
      </c>
    </row>
    <row r="5" spans="1:8" x14ac:dyDescent="0.3">
      <c r="A5" t="s">
        <v>42</v>
      </c>
      <c r="B5" t="s">
        <v>45</v>
      </c>
      <c r="C5" s="4">
        <v>3461.136999999997</v>
      </c>
      <c r="D5" s="4">
        <f t="shared" si="0"/>
        <v>0.85079318256461389</v>
      </c>
      <c r="E5" s="1">
        <f t="shared" si="1"/>
        <v>8.5079318256461381E-3</v>
      </c>
      <c r="F5" s="4">
        <f t="shared" si="2"/>
        <v>543.94052809121024</v>
      </c>
    </row>
    <row r="6" spans="1:8" x14ac:dyDescent="0.3">
      <c r="A6" t="s">
        <v>42</v>
      </c>
      <c r="B6" t="s">
        <v>46</v>
      </c>
      <c r="C6" s="4">
        <v>10836.974650000002</v>
      </c>
      <c r="D6" s="4">
        <f t="shared" si="0"/>
        <v>2.6638714826502254</v>
      </c>
      <c r="E6" s="1">
        <f t="shared" si="1"/>
        <v>2.6638714826502253E-2</v>
      </c>
      <c r="F6" s="4">
        <f t="shared" si="2"/>
        <v>1703.1021060512962</v>
      </c>
    </row>
    <row r="7" spans="1:8" x14ac:dyDescent="0.3">
      <c r="A7" t="s">
        <v>42</v>
      </c>
      <c r="B7" t="s">
        <v>47</v>
      </c>
      <c r="C7" s="4">
        <v>3233.0859999999989</v>
      </c>
      <c r="D7" s="4">
        <f t="shared" si="0"/>
        <v>0.79473523511062949</v>
      </c>
      <c r="E7" s="1">
        <f t="shared" si="1"/>
        <v>7.9473523511062946E-3</v>
      </c>
      <c r="F7" s="4">
        <f t="shared" si="2"/>
        <v>508.10080797272678</v>
      </c>
    </row>
    <row r="8" spans="1:8" x14ac:dyDescent="0.3">
      <c r="A8" t="s">
        <v>42</v>
      </c>
      <c r="B8" t="s">
        <v>48</v>
      </c>
      <c r="C8" s="4">
        <v>25876.134200000022</v>
      </c>
      <c r="D8" s="4">
        <f t="shared" si="0"/>
        <v>6.3606955080041869</v>
      </c>
      <c r="E8" s="1">
        <f t="shared" si="1"/>
        <v>6.3606955080041869E-2</v>
      </c>
      <c r="F8" s="4">
        <f t="shared" si="2"/>
        <v>4066.6053096733967</v>
      </c>
    </row>
    <row r="9" spans="1:8" x14ac:dyDescent="0.3">
      <c r="A9" t="s">
        <v>42</v>
      </c>
      <c r="B9" t="s">
        <v>49</v>
      </c>
      <c r="C9" s="4">
        <v>24652.496179999984</v>
      </c>
      <c r="D9" s="4">
        <f t="shared" si="0"/>
        <v>6.059909123257528</v>
      </c>
      <c r="E9" s="1">
        <f t="shared" si="1"/>
        <v>6.0599091232575279E-2</v>
      </c>
      <c r="F9" s="4">
        <f t="shared" si="2"/>
        <v>3874.3025170386918</v>
      </c>
    </row>
    <row r="10" spans="1:8" x14ac:dyDescent="0.3">
      <c r="D10" s="4">
        <f>SUM(D2:D9)</f>
        <v>99.999999999999986</v>
      </c>
      <c r="E10" s="1">
        <f t="shared" si="1"/>
        <v>0.99999999999999989</v>
      </c>
      <c r="F10" s="4">
        <f t="shared" si="2"/>
        <v>63933.343524399999</v>
      </c>
    </row>
    <row r="22" spans="2:3" x14ac:dyDescent="0.3">
      <c r="B22" t="s">
        <v>104</v>
      </c>
      <c r="C22" s="4">
        <f>SUM(C2:C9)</f>
        <v>406812.96828999202</v>
      </c>
    </row>
    <row r="24" spans="2:3" x14ac:dyDescent="0.3">
      <c r="B24" t="s">
        <v>103</v>
      </c>
      <c r="C24">
        <v>63933.343524400007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42CC-0D9F-4ED7-B086-A3145F98E6D8}">
  <dimension ref="A1:H24"/>
  <sheetViews>
    <sheetView workbookViewId="0">
      <selection activeCell="D13" sqref="D13"/>
    </sheetView>
  </sheetViews>
  <sheetFormatPr defaultRowHeight="14.4" x14ac:dyDescent="0.3"/>
  <cols>
    <col min="1" max="1" width="8.44140625" bestFit="1" customWidth="1"/>
    <col min="2" max="2" width="13.109375" bestFit="1" customWidth="1"/>
    <col min="3" max="3" width="26.21875" bestFit="1" customWidth="1"/>
    <col min="4" max="4" width="30.88671875" bestFit="1" customWidth="1"/>
    <col min="5" max="5" width="6.5546875" bestFit="1" customWidth="1"/>
    <col min="6" max="6" width="13.21875" bestFit="1" customWidth="1"/>
    <col min="7" max="8" width="12.44140625" bestFit="1" customWidth="1"/>
  </cols>
  <sheetData>
    <row r="1" spans="1:8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8" x14ac:dyDescent="0.3">
      <c r="A2" t="s">
        <v>50</v>
      </c>
      <c r="B2" t="s">
        <v>50</v>
      </c>
      <c r="C2" s="4">
        <v>90147.27018999969</v>
      </c>
      <c r="D2" s="4">
        <f>(100/$C$22)*C2</f>
        <v>28.489802114178588</v>
      </c>
      <c r="E2" s="1">
        <f>D2/100</f>
        <v>0.28489802114178586</v>
      </c>
      <c r="F2" s="4">
        <f>E2*$C$24</f>
        <v>14234.848101868909</v>
      </c>
      <c r="G2" s="3"/>
      <c r="H2" s="3"/>
    </row>
    <row r="3" spans="1:8" x14ac:dyDescent="0.3">
      <c r="A3" t="s">
        <v>50</v>
      </c>
      <c r="B3" t="s">
        <v>51</v>
      </c>
      <c r="C3" s="4">
        <v>14588.70523</v>
      </c>
      <c r="D3" s="4">
        <f t="shared" ref="D3:D11" si="0">(100/$C$22)*C3</f>
        <v>4.6105591908526726</v>
      </c>
      <c r="E3" s="1">
        <f t="shared" ref="E3:E12" si="1">D3/100</f>
        <v>4.6105591908526727E-2</v>
      </c>
      <c r="F3" s="4">
        <f t="shared" ref="F3:F12" si="2">E3*$C$24</f>
        <v>2303.6527064468755</v>
      </c>
    </row>
    <row r="4" spans="1:8" x14ac:dyDescent="0.3">
      <c r="A4" t="s">
        <v>50</v>
      </c>
      <c r="B4" t="s">
        <v>52</v>
      </c>
      <c r="C4" s="4">
        <v>49790.084219999924</v>
      </c>
      <c r="D4" s="4">
        <f t="shared" si="0"/>
        <v>15.735469789449525</v>
      </c>
      <c r="E4" s="1">
        <f t="shared" si="1"/>
        <v>0.15735469789449524</v>
      </c>
      <c r="F4" s="4">
        <f t="shared" si="2"/>
        <v>7862.1824527481176</v>
      </c>
    </row>
    <row r="5" spans="1:8" x14ac:dyDescent="0.3">
      <c r="A5" t="s">
        <v>50</v>
      </c>
      <c r="B5" t="s">
        <v>53</v>
      </c>
      <c r="C5" s="4">
        <v>6380.86</v>
      </c>
      <c r="D5" s="4">
        <f t="shared" si="0"/>
        <v>2.0165828464370299</v>
      </c>
      <c r="E5" s="1">
        <f t="shared" si="1"/>
        <v>2.0165828464370299E-2</v>
      </c>
      <c r="F5" s="4">
        <f t="shared" si="2"/>
        <v>1007.5798487059163</v>
      </c>
    </row>
    <row r="6" spans="1:8" x14ac:dyDescent="0.3">
      <c r="A6" t="s">
        <v>50</v>
      </c>
      <c r="B6" t="s">
        <v>54</v>
      </c>
      <c r="C6" s="4">
        <v>23579.481800000005</v>
      </c>
      <c r="D6" s="4">
        <f t="shared" si="0"/>
        <v>7.4519701930075497</v>
      </c>
      <c r="E6" s="1">
        <f t="shared" si="1"/>
        <v>7.4519701930075496E-2</v>
      </c>
      <c r="F6" s="4">
        <f t="shared" si="2"/>
        <v>3723.3555828850522</v>
      </c>
    </row>
    <row r="7" spans="1:8" x14ac:dyDescent="0.3">
      <c r="A7" t="s">
        <v>50</v>
      </c>
      <c r="B7" t="s">
        <v>55</v>
      </c>
      <c r="C7" s="4">
        <v>21283.370300000013</v>
      </c>
      <c r="D7" s="4">
        <f t="shared" si="0"/>
        <v>6.7263158040369744</v>
      </c>
      <c r="E7" s="1">
        <f t="shared" si="1"/>
        <v>6.7263158040369739E-2</v>
      </c>
      <c r="F7" s="4">
        <f t="shared" si="2"/>
        <v>3360.784443919159</v>
      </c>
    </row>
    <row r="8" spans="1:8" x14ac:dyDescent="0.3">
      <c r="A8" t="s">
        <v>50</v>
      </c>
      <c r="B8" t="s">
        <v>56</v>
      </c>
      <c r="C8" s="4">
        <v>45700.216350000053</v>
      </c>
      <c r="D8" s="4">
        <f t="shared" si="0"/>
        <v>14.442923425662247</v>
      </c>
      <c r="E8" s="1">
        <f t="shared" si="1"/>
        <v>0.14442923425662246</v>
      </c>
      <c r="F8" s="4">
        <f t="shared" si="2"/>
        <v>7216.3653607445858</v>
      </c>
    </row>
    <row r="9" spans="1:8" x14ac:dyDescent="0.3">
      <c r="A9" t="s">
        <v>50</v>
      </c>
      <c r="B9" t="s">
        <v>57</v>
      </c>
      <c r="C9" s="4">
        <v>34958.452780000094</v>
      </c>
      <c r="D9" s="4">
        <f t="shared" si="0"/>
        <v>11.048137118527455</v>
      </c>
      <c r="E9" s="1">
        <f t="shared" si="1"/>
        <v>0.11048137118527455</v>
      </c>
      <c r="F9" s="4">
        <f t="shared" si="2"/>
        <v>5520.1700966743383</v>
      </c>
    </row>
    <row r="10" spans="1:8" x14ac:dyDescent="0.3">
      <c r="A10" t="s">
        <v>50</v>
      </c>
      <c r="B10" t="s">
        <v>58</v>
      </c>
      <c r="C10" s="4">
        <v>17633.624000000007</v>
      </c>
      <c r="D10" s="4">
        <f t="shared" si="0"/>
        <v>5.5728637956200791</v>
      </c>
      <c r="E10" s="1">
        <f t="shared" si="1"/>
        <v>5.572863795620079E-2</v>
      </c>
      <c r="F10" s="4">
        <f t="shared" si="2"/>
        <v>2784.4654485534898</v>
      </c>
    </row>
    <row r="11" spans="1:8" x14ac:dyDescent="0.3">
      <c r="A11" t="s">
        <v>50</v>
      </c>
      <c r="B11" t="s">
        <v>59</v>
      </c>
      <c r="C11" s="4">
        <v>12357.367700000001</v>
      </c>
      <c r="D11" s="4">
        <f t="shared" si="0"/>
        <v>3.905375722227884</v>
      </c>
      <c r="E11" s="1">
        <f t="shared" si="1"/>
        <v>3.9053757222278843E-2</v>
      </c>
      <c r="F11" s="4">
        <f t="shared" si="2"/>
        <v>1951.3098042535614</v>
      </c>
    </row>
    <row r="12" spans="1:8" x14ac:dyDescent="0.3">
      <c r="D12" s="4">
        <f>SUM(D2:D11)</f>
        <v>100</v>
      </c>
      <c r="E12" s="1">
        <f t="shared" si="1"/>
        <v>1</v>
      </c>
      <c r="F12" s="4">
        <f t="shared" si="2"/>
        <v>49964.713846800005</v>
      </c>
    </row>
    <row r="22" spans="2:3" x14ac:dyDescent="0.3">
      <c r="B22" t="s">
        <v>104</v>
      </c>
      <c r="C22">
        <f>SUM(C2:C11)</f>
        <v>316419.43256999977</v>
      </c>
    </row>
    <row r="24" spans="2:3" x14ac:dyDescent="0.3">
      <c r="B24" t="s">
        <v>103</v>
      </c>
      <c r="C24">
        <v>49964.713846800005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2EA9-8C61-4370-99C4-5C4F32419969}">
  <dimension ref="A1:H24"/>
  <sheetViews>
    <sheetView workbookViewId="0">
      <selection activeCell="D14" sqref="D14"/>
    </sheetView>
  </sheetViews>
  <sheetFormatPr defaultRowHeight="14.4" x14ac:dyDescent="0.3"/>
  <cols>
    <col min="1" max="1" width="9.88671875" bestFit="1" customWidth="1"/>
    <col min="2" max="2" width="10.88671875" bestFit="1" customWidth="1"/>
    <col min="3" max="3" width="26.21875" bestFit="1" customWidth="1"/>
    <col min="4" max="4" width="30.88671875" bestFit="1" customWidth="1"/>
    <col min="5" max="5" width="6.5546875" bestFit="1" customWidth="1"/>
    <col min="6" max="6" width="13.21875" bestFit="1" customWidth="1"/>
    <col min="7" max="8" width="12.44140625" bestFit="1" customWidth="1"/>
  </cols>
  <sheetData>
    <row r="1" spans="1:8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8" x14ac:dyDescent="0.3">
      <c r="A2" t="s">
        <v>60</v>
      </c>
      <c r="B2" t="s">
        <v>61</v>
      </c>
      <c r="C2" s="4">
        <v>77394.877279999942</v>
      </c>
      <c r="D2" s="4">
        <f>(100/$C$22)*C2</f>
        <v>26.683268156956821</v>
      </c>
      <c r="E2" s="1">
        <f>D2/100</f>
        <v>0.26683268156956819</v>
      </c>
      <c r="F2" s="4">
        <f>E2*$C$24</f>
        <v>12185.361067374315</v>
      </c>
      <c r="G2" s="3"/>
      <c r="H2" s="3"/>
    </row>
    <row r="3" spans="1:8" x14ac:dyDescent="0.3">
      <c r="A3" t="s">
        <v>60</v>
      </c>
      <c r="B3" t="s">
        <v>62</v>
      </c>
      <c r="C3" s="4">
        <v>4408.0348999999997</v>
      </c>
      <c r="D3" s="4">
        <f t="shared" ref="D3:D12" si="0">(100/$C$22)*C3</f>
        <v>1.5197488698947701</v>
      </c>
      <c r="E3" s="1">
        <f t="shared" ref="E3:E13" si="1">D3/100</f>
        <v>1.51974886989477E-2</v>
      </c>
      <c r="F3" s="4">
        <f t="shared" ref="F3:F13" si="2">E3*$C$24</f>
        <v>694.01876121286443</v>
      </c>
    </row>
    <row r="4" spans="1:8" x14ac:dyDescent="0.3">
      <c r="A4" t="s">
        <v>60</v>
      </c>
      <c r="B4" t="s">
        <v>63</v>
      </c>
      <c r="C4" s="4">
        <v>24045.590839999997</v>
      </c>
      <c r="D4" s="4">
        <f t="shared" si="0"/>
        <v>8.2901474997491587</v>
      </c>
      <c r="E4" s="1">
        <f t="shared" si="1"/>
        <v>8.2901474997491592E-2</v>
      </c>
      <c r="F4" s="4">
        <f t="shared" si="2"/>
        <v>3785.8346283529199</v>
      </c>
    </row>
    <row r="5" spans="1:8" x14ac:dyDescent="0.3">
      <c r="A5" t="s">
        <v>60</v>
      </c>
      <c r="B5" t="s">
        <v>64</v>
      </c>
      <c r="C5" s="4">
        <v>16020.412379999994</v>
      </c>
      <c r="D5" s="4">
        <f t="shared" si="0"/>
        <v>5.5233236945907977</v>
      </c>
      <c r="E5" s="1">
        <f t="shared" si="1"/>
        <v>5.5233236945907975E-2</v>
      </c>
      <c r="F5" s="4">
        <f t="shared" si="2"/>
        <v>2522.3182225909404</v>
      </c>
    </row>
    <row r="6" spans="1:8" x14ac:dyDescent="0.3">
      <c r="A6" t="s">
        <v>60</v>
      </c>
      <c r="B6" t="s">
        <v>65</v>
      </c>
      <c r="C6" s="4">
        <v>132697.43549999999</v>
      </c>
      <c r="D6" s="4">
        <f t="shared" si="0"/>
        <v>45.749814194769456</v>
      </c>
      <c r="E6" s="1">
        <f t="shared" si="1"/>
        <v>0.45749814194769456</v>
      </c>
      <c r="F6" s="4">
        <f t="shared" si="2"/>
        <v>20892.418479226195</v>
      </c>
    </row>
    <row r="7" spans="1:8" x14ac:dyDescent="0.3">
      <c r="A7" t="s">
        <v>60</v>
      </c>
      <c r="B7" t="s">
        <v>66</v>
      </c>
      <c r="C7" s="4">
        <v>11091.62753</v>
      </c>
      <c r="D7" s="4">
        <f t="shared" si="0"/>
        <v>3.8240369657715778</v>
      </c>
      <c r="E7" s="1">
        <f t="shared" si="1"/>
        <v>3.8240369657715781E-2</v>
      </c>
      <c r="F7" s="4">
        <f t="shared" si="2"/>
        <v>1746.3104927334182</v>
      </c>
    </row>
    <row r="8" spans="1:8" x14ac:dyDescent="0.3">
      <c r="A8" t="s">
        <v>60</v>
      </c>
      <c r="B8" t="s">
        <v>67</v>
      </c>
      <c r="C8" s="4">
        <v>4094.489</v>
      </c>
      <c r="D8" s="4">
        <f t="shared" si="0"/>
        <v>1.4116483130717881</v>
      </c>
      <c r="E8" s="1">
        <f t="shared" si="1"/>
        <v>1.411648313071788E-2</v>
      </c>
      <c r="F8" s="4">
        <f t="shared" si="2"/>
        <v>644.65283239470273</v>
      </c>
    </row>
    <row r="9" spans="1:8" x14ac:dyDescent="0.3">
      <c r="A9" t="s">
        <v>60</v>
      </c>
      <c r="B9" t="s">
        <v>68</v>
      </c>
      <c r="C9" s="4">
        <v>11299.269000000009</v>
      </c>
      <c r="D9" s="4">
        <f t="shared" si="0"/>
        <v>3.8956250762413482</v>
      </c>
      <c r="E9" s="1">
        <f t="shared" si="1"/>
        <v>3.8956250762413484E-2</v>
      </c>
      <c r="F9" s="4">
        <f t="shared" si="2"/>
        <v>1779.0024017257506</v>
      </c>
    </row>
    <row r="10" spans="1:8" x14ac:dyDescent="0.3">
      <c r="A10" t="s">
        <v>60</v>
      </c>
      <c r="B10" t="s">
        <v>69</v>
      </c>
      <c r="C10" s="4">
        <v>1384.6680000000001</v>
      </c>
      <c r="D10" s="4">
        <f t="shared" si="0"/>
        <v>0.47738905791772474</v>
      </c>
      <c r="E10" s="1">
        <f t="shared" si="1"/>
        <v>4.7738905791772472E-3</v>
      </c>
      <c r="F10" s="4">
        <f t="shared" si="2"/>
        <v>218.00770453316846</v>
      </c>
    </row>
    <row r="11" spans="1:8" x14ac:dyDescent="0.3">
      <c r="A11" t="s">
        <v>60</v>
      </c>
      <c r="B11" t="s">
        <v>70</v>
      </c>
      <c r="C11" s="4">
        <v>4765.7119000000021</v>
      </c>
      <c r="D11" s="4">
        <f t="shared" si="0"/>
        <v>1.6430644127316372</v>
      </c>
      <c r="E11" s="1">
        <f t="shared" si="1"/>
        <v>1.643064412731637E-2</v>
      </c>
      <c r="F11" s="4">
        <f t="shared" si="2"/>
        <v>750.33286808491641</v>
      </c>
    </row>
    <row r="12" spans="1:8" x14ac:dyDescent="0.3">
      <c r="A12" t="s">
        <v>60</v>
      </c>
      <c r="B12" t="s">
        <v>71</v>
      </c>
      <c r="C12" s="4">
        <v>2848.1009999999997</v>
      </c>
      <c r="D12" s="4">
        <f t="shared" si="0"/>
        <v>0.98193375830490015</v>
      </c>
      <c r="E12" s="1">
        <f t="shared" si="1"/>
        <v>9.8193375830490023E-3</v>
      </c>
      <c r="F12" s="4">
        <f t="shared" si="2"/>
        <v>448.41648777080252</v>
      </c>
    </row>
    <row r="13" spans="1:8" x14ac:dyDescent="0.3">
      <c r="D13" s="4">
        <f>SUM(D2:D12)</f>
        <v>99.999999999999986</v>
      </c>
      <c r="E13" s="1">
        <f t="shared" si="1"/>
        <v>0.99999999999999989</v>
      </c>
      <c r="F13" s="4">
        <f t="shared" si="2"/>
        <v>45666.673945999995</v>
      </c>
    </row>
    <row r="22" spans="2:3" x14ac:dyDescent="0.3">
      <c r="B22" t="s">
        <v>104</v>
      </c>
      <c r="C22">
        <f>SUM(C2:C12)</f>
        <v>290050.21733000001</v>
      </c>
    </row>
    <row r="24" spans="2:3" x14ac:dyDescent="0.3">
      <c r="B24" t="s">
        <v>103</v>
      </c>
      <c r="C24">
        <v>45666.673946000003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5475-63CC-4C36-A3E9-30682173C821}">
  <dimension ref="A1:H24"/>
  <sheetViews>
    <sheetView workbookViewId="0">
      <selection activeCell="H13" sqref="H13"/>
    </sheetView>
  </sheetViews>
  <sheetFormatPr defaultRowHeight="14.4" x14ac:dyDescent="0.3"/>
  <cols>
    <col min="1" max="1" width="10.21875" bestFit="1" customWidth="1"/>
    <col min="2" max="2" width="13.21875" bestFit="1" customWidth="1"/>
    <col min="3" max="3" width="26.21875" bestFit="1" customWidth="1"/>
    <col min="4" max="4" width="30.88671875" bestFit="1" customWidth="1"/>
    <col min="5" max="5" width="8" bestFit="1" customWidth="1"/>
    <col min="6" max="6" width="20.44140625" bestFit="1" customWidth="1"/>
    <col min="7" max="8" width="12.44140625" bestFit="1" customWidth="1"/>
  </cols>
  <sheetData>
    <row r="1" spans="1:8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8" x14ac:dyDescent="0.3">
      <c r="A2" t="s">
        <v>72</v>
      </c>
      <c r="B2" t="s">
        <v>72</v>
      </c>
      <c r="C2" s="4">
        <v>64943.943540000095</v>
      </c>
      <c r="D2" s="2">
        <f>(100/$C$22)*C2</f>
        <v>35.143969498280377</v>
      </c>
      <c r="E2" s="1">
        <f>D2/100</f>
        <v>0.35143969498280375</v>
      </c>
      <c r="F2" s="4">
        <f>E2*$C$24</f>
        <v>10195.887364387238</v>
      </c>
      <c r="G2" s="3"/>
      <c r="H2" s="3"/>
    </row>
    <row r="3" spans="1:8" x14ac:dyDescent="0.3">
      <c r="A3" t="s">
        <v>72</v>
      </c>
      <c r="B3" t="s">
        <v>73</v>
      </c>
      <c r="C3" s="4">
        <v>18982.564600000012</v>
      </c>
      <c r="D3" s="2">
        <f t="shared" ref="D3:D14" si="0">(100/$C$22)*C3</f>
        <v>10.272284603269355</v>
      </c>
      <c r="E3" s="1">
        <f t="shared" ref="E3:E14" si="1">D3/100</f>
        <v>0.10272284603269355</v>
      </c>
      <c r="F3" s="4">
        <f t="shared" ref="F3:F14" si="2">E3*$C$24</f>
        <v>2980.1715140627002</v>
      </c>
    </row>
    <row r="4" spans="1:8" x14ac:dyDescent="0.3">
      <c r="A4" t="s">
        <v>72</v>
      </c>
      <c r="B4" t="s">
        <v>74</v>
      </c>
      <c r="C4" s="4">
        <v>4146.9459999999999</v>
      </c>
      <c r="D4" s="2">
        <f t="shared" si="0"/>
        <v>2.2440913777472096</v>
      </c>
      <c r="E4" s="1">
        <f t="shared" si="1"/>
        <v>2.2440913777472097E-2</v>
      </c>
      <c r="F4" s="4">
        <f t="shared" si="2"/>
        <v>651.05061407541587</v>
      </c>
    </row>
    <row r="5" spans="1:8" x14ac:dyDescent="0.3">
      <c r="A5" t="s">
        <v>72</v>
      </c>
      <c r="B5" t="s">
        <v>75</v>
      </c>
      <c r="C5" s="4">
        <v>10571.41661000004</v>
      </c>
      <c r="D5" s="2">
        <f t="shared" si="0"/>
        <v>5.720649573222012</v>
      </c>
      <c r="E5" s="1">
        <f t="shared" si="1"/>
        <v>5.7206495732220121E-2</v>
      </c>
      <c r="F5" s="4">
        <f t="shared" si="2"/>
        <v>1659.6616583836824</v>
      </c>
    </row>
    <row r="6" spans="1:8" x14ac:dyDescent="0.3">
      <c r="A6" t="s">
        <v>72</v>
      </c>
      <c r="B6" t="s">
        <v>76</v>
      </c>
      <c r="C6" s="4">
        <v>9849.3459999999995</v>
      </c>
      <c r="D6" s="2">
        <f t="shared" si="0"/>
        <v>5.3299060163910905</v>
      </c>
      <c r="E6" s="1">
        <f t="shared" si="1"/>
        <v>5.3299060163910908E-2</v>
      </c>
      <c r="F6" s="4">
        <f t="shared" si="2"/>
        <v>1546.3000390024949</v>
      </c>
    </row>
    <row r="7" spans="1:8" x14ac:dyDescent="0.3">
      <c r="A7" t="s">
        <v>72</v>
      </c>
      <c r="B7" t="s">
        <v>77</v>
      </c>
      <c r="C7" s="4">
        <v>23328.331009999998</v>
      </c>
      <c r="D7" s="2">
        <f t="shared" si="0"/>
        <v>12.623966281879207</v>
      </c>
      <c r="E7" s="1">
        <f t="shared" si="1"/>
        <v>0.12623966281879206</v>
      </c>
      <c r="F7" s="4">
        <f t="shared" si="2"/>
        <v>3662.4359780462692</v>
      </c>
    </row>
    <row r="8" spans="1:8" x14ac:dyDescent="0.3">
      <c r="A8" t="s">
        <v>72</v>
      </c>
      <c r="B8" t="s">
        <v>78</v>
      </c>
      <c r="C8" s="4">
        <v>20571.537000000004</v>
      </c>
      <c r="D8" s="2">
        <f t="shared" si="0"/>
        <v>11.132146116372798</v>
      </c>
      <c r="E8" s="1">
        <f t="shared" si="1"/>
        <v>0.11132146116372799</v>
      </c>
      <c r="F8" s="4">
        <f t="shared" si="2"/>
        <v>3229.6325528051584</v>
      </c>
    </row>
    <row r="9" spans="1:8" x14ac:dyDescent="0.3">
      <c r="A9" t="s">
        <v>72</v>
      </c>
      <c r="B9" t="s">
        <v>79</v>
      </c>
      <c r="C9" s="4">
        <v>9376.2499999999964</v>
      </c>
      <c r="D9" s="2">
        <f t="shared" si="0"/>
        <v>5.073893361669592</v>
      </c>
      <c r="E9" s="1">
        <f t="shared" si="1"/>
        <v>5.0738933616695923E-2</v>
      </c>
      <c r="F9" s="4">
        <f t="shared" si="2"/>
        <v>1472.0262381580606</v>
      </c>
    </row>
    <row r="10" spans="1:8" x14ac:dyDescent="0.3">
      <c r="A10" t="s">
        <v>72</v>
      </c>
      <c r="B10" t="s">
        <v>80</v>
      </c>
      <c r="C10" s="4">
        <v>4472.6145999999981</v>
      </c>
      <c r="D10" s="2">
        <f t="shared" si="0"/>
        <v>2.4203247063854416</v>
      </c>
      <c r="E10" s="1">
        <f t="shared" si="1"/>
        <v>2.4203247063854415E-2</v>
      </c>
      <c r="F10" s="4">
        <f t="shared" si="2"/>
        <v>702.17902086322545</v>
      </c>
    </row>
    <row r="11" spans="1:8" x14ac:dyDescent="0.3">
      <c r="A11" t="s">
        <v>72</v>
      </c>
      <c r="B11" t="s">
        <v>81</v>
      </c>
      <c r="C11" s="4">
        <v>14129.435159999999</v>
      </c>
      <c r="D11" s="2">
        <f t="shared" si="0"/>
        <v>7.6460469017426957</v>
      </c>
      <c r="E11" s="1">
        <f t="shared" si="1"/>
        <v>7.6460469017426952E-2</v>
      </c>
      <c r="F11" s="4">
        <f t="shared" si="2"/>
        <v>2218.2534900277869</v>
      </c>
    </row>
    <row r="12" spans="1:8" x14ac:dyDescent="0.3">
      <c r="A12" t="s">
        <v>72</v>
      </c>
      <c r="B12" t="s">
        <v>82</v>
      </c>
      <c r="C12" s="4">
        <v>4418.7456499999944</v>
      </c>
      <c r="D12" s="2">
        <f t="shared" si="0"/>
        <v>2.3911738936612577</v>
      </c>
      <c r="E12" s="1">
        <f t="shared" si="1"/>
        <v>2.3911738936612578E-2</v>
      </c>
      <c r="F12" s="4">
        <f t="shared" si="2"/>
        <v>693.72185431774835</v>
      </c>
    </row>
    <row r="13" spans="1:8" x14ac:dyDescent="0.3">
      <c r="A13" t="s">
        <v>72</v>
      </c>
      <c r="B13" t="s">
        <v>83</v>
      </c>
      <c r="C13" s="4"/>
      <c r="D13" s="2">
        <f t="shared" si="0"/>
        <v>0</v>
      </c>
      <c r="E13" s="1">
        <f t="shared" si="1"/>
        <v>0</v>
      </c>
      <c r="F13" s="4">
        <f t="shared" si="2"/>
        <v>0</v>
      </c>
    </row>
    <row r="14" spans="1:8" x14ac:dyDescent="0.3">
      <c r="A14" t="s">
        <v>72</v>
      </c>
      <c r="B14" t="s">
        <v>85</v>
      </c>
      <c r="C14" s="4">
        <v>2.86</v>
      </c>
      <c r="D14" s="2">
        <f t="shared" si="0"/>
        <v>1.5476693789494775E-3</v>
      </c>
      <c r="E14" s="1">
        <f t="shared" si="1"/>
        <v>1.5476693789494776E-5</v>
      </c>
      <c r="F14" s="4">
        <f t="shared" si="2"/>
        <v>0.44900627021805672</v>
      </c>
    </row>
    <row r="22" spans="2:3" x14ac:dyDescent="0.3">
      <c r="B22" t="s">
        <v>104</v>
      </c>
      <c r="C22" s="4">
        <f>SUM(C2:C14)</f>
        <v>184793.99017000015</v>
      </c>
    </row>
    <row r="24" spans="2:3" x14ac:dyDescent="0.3">
      <c r="B24" t="s">
        <v>103</v>
      </c>
      <c r="C24">
        <v>29011.769330400002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965D-74F8-499A-ACDA-FFA3574FA6B6}">
  <dimension ref="A1:F24"/>
  <sheetViews>
    <sheetView tabSelected="1" workbookViewId="0">
      <selection activeCell="D9" sqref="D9"/>
    </sheetView>
  </sheetViews>
  <sheetFormatPr defaultRowHeight="14.4" x14ac:dyDescent="0.3"/>
  <cols>
    <col min="1" max="1" width="8.44140625" bestFit="1" customWidth="1"/>
    <col min="2" max="2" width="10.77734375" bestFit="1" customWidth="1"/>
    <col min="3" max="3" width="26.21875" bestFit="1" customWidth="1"/>
    <col min="4" max="4" width="30.88671875" bestFit="1" customWidth="1"/>
    <col min="5" max="5" width="7.109375" bestFit="1" customWidth="1"/>
    <col min="6" max="6" width="13.21875" bestFit="1" customWidth="1"/>
    <col min="7" max="8" width="12.44140625" bestFit="1" customWidth="1"/>
  </cols>
  <sheetData>
    <row r="1" spans="1:6" x14ac:dyDescent="0.3">
      <c r="A1" t="s">
        <v>0</v>
      </c>
      <c r="B1" t="s">
        <v>1</v>
      </c>
      <c r="C1" t="s">
        <v>100</v>
      </c>
      <c r="D1" t="s">
        <v>101</v>
      </c>
      <c r="F1" t="s">
        <v>102</v>
      </c>
    </row>
    <row r="2" spans="1:6" x14ac:dyDescent="0.3">
      <c r="A2" t="s">
        <v>86</v>
      </c>
      <c r="B2" t="s">
        <v>86</v>
      </c>
      <c r="C2" s="4">
        <v>61196.782500000067</v>
      </c>
      <c r="D2" s="4">
        <f>(100/$C$22)*C2</f>
        <v>31.48318128948301</v>
      </c>
      <c r="E2" s="1">
        <f>D2/100</f>
        <v>0.31483181289483009</v>
      </c>
      <c r="F2" s="4">
        <f>E2*$C$24</f>
        <v>9641.2628187751561</v>
      </c>
    </row>
    <row r="3" spans="1:6" x14ac:dyDescent="0.3">
      <c r="A3" t="s">
        <v>86</v>
      </c>
      <c r="B3" t="s">
        <v>87</v>
      </c>
      <c r="C3" s="4">
        <v>44099.538439999902</v>
      </c>
      <c r="D3" s="4">
        <f t="shared" ref="D3:D7" si="0">(100/$C$22)*C3</f>
        <v>22.687365360900145</v>
      </c>
      <c r="E3" s="1">
        <f t="shared" ref="E3:E8" si="1">D3/100</f>
        <v>0.22687365360900144</v>
      </c>
      <c r="F3" s="4">
        <f t="shared" ref="F3:F8" si="2">E3*$C$24</f>
        <v>6947.673111518834</v>
      </c>
    </row>
    <row r="4" spans="1:6" x14ac:dyDescent="0.3">
      <c r="A4" t="s">
        <v>86</v>
      </c>
      <c r="B4" t="s">
        <v>88</v>
      </c>
      <c r="C4" s="4">
        <v>18941.917799999985</v>
      </c>
      <c r="D4" s="4">
        <f t="shared" si="0"/>
        <v>9.7448233012558152</v>
      </c>
      <c r="E4" s="1">
        <f t="shared" si="1"/>
        <v>9.7448233012558158E-2</v>
      </c>
      <c r="F4" s="4">
        <f t="shared" si="2"/>
        <v>2984.2093054718193</v>
      </c>
    </row>
    <row r="5" spans="1:6" x14ac:dyDescent="0.3">
      <c r="A5" t="s">
        <v>86</v>
      </c>
      <c r="B5" t="s">
        <v>89</v>
      </c>
      <c r="C5" s="4">
        <v>7646.0239999999994</v>
      </c>
      <c r="D5" s="4">
        <f t="shared" si="0"/>
        <v>3.9335590843479031</v>
      </c>
      <c r="E5" s="1">
        <f t="shared" si="1"/>
        <v>3.9335590843479033E-2</v>
      </c>
      <c r="F5" s="4">
        <f t="shared" si="2"/>
        <v>1204.5948151385642</v>
      </c>
    </row>
    <row r="6" spans="1:6" x14ac:dyDescent="0.3">
      <c r="A6" t="s">
        <v>86</v>
      </c>
      <c r="B6" t="s">
        <v>90</v>
      </c>
      <c r="C6" s="4">
        <v>13335.914799999995</v>
      </c>
      <c r="D6" s="4">
        <f t="shared" si="0"/>
        <v>6.8607695724770981</v>
      </c>
      <c r="E6" s="1">
        <f t="shared" si="1"/>
        <v>6.8607695724770976E-2</v>
      </c>
      <c r="F6" s="4">
        <f t="shared" si="2"/>
        <v>2101.0101228049552</v>
      </c>
    </row>
    <row r="7" spans="1:6" x14ac:dyDescent="0.3">
      <c r="A7" t="s">
        <v>86</v>
      </c>
      <c r="B7" t="s">
        <v>91</v>
      </c>
      <c r="C7" s="4">
        <v>49159.106869999989</v>
      </c>
      <c r="D7" s="4">
        <f t="shared" si="0"/>
        <v>25.29030139153603</v>
      </c>
      <c r="E7" s="1">
        <f t="shared" si="1"/>
        <v>0.2529030139153603</v>
      </c>
      <c r="F7" s="4">
        <f t="shared" si="2"/>
        <v>7744.7841194906732</v>
      </c>
    </row>
    <row r="8" spans="1:6" x14ac:dyDescent="0.3">
      <c r="D8" s="4">
        <f>SUM(D2:D7)</f>
        <v>100</v>
      </c>
      <c r="E8" s="1">
        <f t="shared" si="1"/>
        <v>1</v>
      </c>
      <c r="F8" s="4">
        <f t="shared" si="2"/>
        <v>30623.534293200002</v>
      </c>
    </row>
    <row r="22" spans="2:3" x14ac:dyDescent="0.3">
      <c r="B22" t="s">
        <v>104</v>
      </c>
      <c r="C22" s="4">
        <f>SUM(C2:C7)</f>
        <v>194379.28440999993</v>
      </c>
    </row>
    <row r="24" spans="2:3" x14ac:dyDescent="0.3">
      <c r="B24" t="s">
        <v>103</v>
      </c>
      <c r="C24">
        <v>30623.534293200002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54A0-6CC6-41D3-9FC8-D948E39103AD}">
  <dimension ref="A1:D11"/>
  <sheetViews>
    <sheetView workbookViewId="0">
      <selection activeCell="D8" sqref="D8"/>
    </sheetView>
  </sheetViews>
  <sheetFormatPr defaultRowHeight="14.4" x14ac:dyDescent="0.3"/>
  <cols>
    <col min="1" max="1" width="15.21875" bestFit="1" customWidth="1"/>
    <col min="2" max="2" width="21" bestFit="1" customWidth="1"/>
    <col min="4" max="4" width="18.5546875" customWidth="1"/>
  </cols>
  <sheetData>
    <row r="1" spans="1:4" x14ac:dyDescent="0.3">
      <c r="B1" t="s">
        <v>97</v>
      </c>
      <c r="D1" t="s">
        <v>99</v>
      </c>
    </row>
    <row r="2" spans="1:4" x14ac:dyDescent="0.3">
      <c r="A2" t="s">
        <v>5</v>
      </c>
      <c r="B2">
        <v>48.7</v>
      </c>
      <c r="C2">
        <f>B2/100</f>
        <v>0.48700000000000004</v>
      </c>
      <c r="D2" s="4">
        <f>C2*$B$11</f>
        <v>261643.17896120003</v>
      </c>
    </row>
    <row r="3" spans="1:4" x14ac:dyDescent="0.3">
      <c r="A3" t="s">
        <v>25</v>
      </c>
      <c r="B3">
        <v>10.5</v>
      </c>
      <c r="C3">
        <f t="shared" ref="C3:C8" si="0">B3/100</f>
        <v>0.105</v>
      </c>
      <c r="D3" s="4">
        <f t="shared" ref="D3:D8" si="1">C3*$B$11</f>
        <v>56411.773697999997</v>
      </c>
    </row>
    <row r="4" spans="1:4" x14ac:dyDescent="0.3">
      <c r="A4" t="s">
        <v>92</v>
      </c>
      <c r="B4">
        <v>11.9</v>
      </c>
      <c r="C4">
        <f t="shared" si="0"/>
        <v>0.11900000000000001</v>
      </c>
      <c r="D4" s="4">
        <f t="shared" si="1"/>
        <v>63933.343524400007</v>
      </c>
    </row>
    <row r="5" spans="1:4" x14ac:dyDescent="0.3">
      <c r="A5" t="s">
        <v>93</v>
      </c>
      <c r="B5">
        <v>9.3000000000000007</v>
      </c>
      <c r="C5">
        <f t="shared" si="0"/>
        <v>9.3000000000000013E-2</v>
      </c>
      <c r="D5" s="4">
        <f t="shared" si="1"/>
        <v>49964.713846800005</v>
      </c>
    </row>
    <row r="6" spans="1:4" x14ac:dyDescent="0.3">
      <c r="A6" t="s">
        <v>94</v>
      </c>
      <c r="B6">
        <v>8.5</v>
      </c>
      <c r="C6">
        <f t="shared" si="0"/>
        <v>8.5000000000000006E-2</v>
      </c>
      <c r="D6" s="4">
        <f t="shared" si="1"/>
        <v>45666.673946000003</v>
      </c>
    </row>
    <row r="7" spans="1:4" x14ac:dyDescent="0.3">
      <c r="A7" t="s">
        <v>95</v>
      </c>
      <c r="B7">
        <v>5.4</v>
      </c>
      <c r="C7">
        <f t="shared" si="0"/>
        <v>5.4000000000000006E-2</v>
      </c>
      <c r="D7" s="4">
        <f t="shared" si="1"/>
        <v>29011.769330400002</v>
      </c>
    </row>
    <row r="8" spans="1:4" x14ac:dyDescent="0.3">
      <c r="A8" t="s">
        <v>96</v>
      </c>
      <c r="B8">
        <v>5.7</v>
      </c>
      <c r="C8">
        <f t="shared" si="0"/>
        <v>5.7000000000000002E-2</v>
      </c>
      <c r="D8" s="4">
        <f t="shared" si="1"/>
        <v>30623.534293200002</v>
      </c>
    </row>
    <row r="9" spans="1:4" x14ac:dyDescent="0.3">
      <c r="B9">
        <f>SUM(B2:B8)</f>
        <v>100.00000000000001</v>
      </c>
      <c r="C9">
        <f>SUM(C2:C8)</f>
        <v>1</v>
      </c>
      <c r="D9" s="4">
        <f>SUM(D2:D8)</f>
        <v>537254.98759999999</v>
      </c>
    </row>
    <row r="11" spans="1:4" x14ac:dyDescent="0.3">
      <c r="A11" t="s">
        <v>98</v>
      </c>
      <c r="B11">
        <v>537254.98759999999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CFD9E3CF9E01419E2B7C6F0C354909" ma:contentTypeVersion="3" ma:contentTypeDescription="Crear nuevo documento." ma:contentTypeScope="" ma:versionID="a1f5b3c10d35b6fae5ad8d6448d000ad">
  <xsd:schema xmlns:xsd="http://www.w3.org/2001/XMLSchema" xmlns:xs="http://www.w3.org/2001/XMLSchema" xmlns:p="http://schemas.microsoft.com/office/2006/metadata/properties" xmlns:ns2="673a78b3-d36c-4e87-ad30-7b9bae48754a" targetNamespace="http://schemas.microsoft.com/office/2006/metadata/properties" ma:root="true" ma:fieldsID="d5ed690512077925d783ec386cfe06da" ns2:_="">
    <xsd:import namespace="673a78b3-d36c-4e87-ad30-7b9bae4875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a78b3-d36c-4e87-ad30-7b9bae487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49754C-BC9C-4D2A-AEF8-DA1940C93C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4E3E3D-2E50-443D-8A73-0AD3CF957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3a78b3-d36c-4e87-ad30-7b9bae487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757624-8723-4664-833D-E12AF05CB2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</vt:lpstr>
      <vt:lpstr>San Jose</vt:lpstr>
      <vt:lpstr>Alajuela</vt:lpstr>
      <vt:lpstr>Cartago</vt:lpstr>
      <vt:lpstr>Heredia</vt:lpstr>
      <vt:lpstr>Guanacaste</vt:lpstr>
      <vt:lpstr>Puntarenas</vt:lpstr>
      <vt:lpstr>Limon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Teresita Yanancy Navarro Cerdas</dc:creator>
  <cp:keywords/>
  <dc:description/>
  <cp:lastModifiedBy>Teresita Yanancy Navarro Cerdas</cp:lastModifiedBy>
  <cp:revision/>
  <dcterms:created xsi:type="dcterms:W3CDTF">2025-08-08T20:38:37Z</dcterms:created>
  <dcterms:modified xsi:type="dcterms:W3CDTF">2025-10-22T08:52:53Z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0x0101009DCFD9E3CF9E01419E2B7C6F0C354909</vt:lpwstr>
  </property>
</Properties>
</file>
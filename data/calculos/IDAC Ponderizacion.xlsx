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gustingomez/Downloads/"/>
    </mc:Choice>
  </mc:AlternateContent>
  <xr:revisionPtr revIDLastSave="0" documentId="8_{A1395227-9FF5-E246-B221-2C0B3B22775B}" xr6:coauthVersionLast="47" xr6:coauthVersionMax="47" xr10:uidLastSave="{00000000-0000-0000-0000-000000000000}"/>
  <bookViews>
    <workbookView xWindow="0" yWindow="780" windowWidth="36000" windowHeight="22600" xr2:uid="{203EB81A-E0C9-4BDB-9B06-79C703BDDD8E}"/>
  </bookViews>
  <sheets>
    <sheet name="IDAC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I3" i="3"/>
  <c r="G15" i="3"/>
  <c r="I15" i="3"/>
  <c r="G17" i="3"/>
  <c r="I17" i="3"/>
  <c r="G26" i="3"/>
  <c r="I26" i="3"/>
  <c r="G27" i="3"/>
  <c r="I27" i="3"/>
  <c r="G29" i="3"/>
  <c r="I29" i="3"/>
  <c r="G31" i="3"/>
  <c r="I31" i="3"/>
  <c r="G49" i="3"/>
  <c r="I4" i="3"/>
  <c r="I5" i="3"/>
  <c r="I6" i="3"/>
  <c r="I7" i="3"/>
  <c r="I8" i="3"/>
  <c r="I9" i="3"/>
  <c r="I10" i="3"/>
  <c r="I11" i="3"/>
  <c r="I12" i="3"/>
  <c r="I13" i="3"/>
  <c r="I14" i="3"/>
  <c r="I16" i="3"/>
  <c r="I18" i="3"/>
  <c r="I19" i="3"/>
  <c r="I20" i="3"/>
  <c r="I21" i="3"/>
  <c r="I22" i="3"/>
  <c r="I23" i="3"/>
  <c r="I24" i="3"/>
  <c r="I25" i="3"/>
  <c r="I28" i="3"/>
  <c r="I30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G4" i="3"/>
  <c r="G5" i="3"/>
  <c r="G6" i="3"/>
  <c r="G7" i="3"/>
  <c r="G8" i="3"/>
  <c r="G9" i="3"/>
  <c r="G10" i="3"/>
  <c r="G11" i="3"/>
  <c r="G12" i="3"/>
  <c r="G13" i="3"/>
  <c r="G14" i="3"/>
  <c r="G16" i="3"/>
  <c r="G18" i="3"/>
  <c r="G19" i="3"/>
  <c r="G20" i="3"/>
  <c r="G21" i="3"/>
  <c r="G22" i="3"/>
  <c r="G23" i="3"/>
  <c r="G24" i="3"/>
  <c r="G25" i="3"/>
  <c r="G28" i="3"/>
  <c r="G30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</calcChain>
</file>

<file path=xl/sharedStrings.xml><?xml version="1.0" encoding="utf-8"?>
<sst xmlns="http://schemas.openxmlformats.org/spreadsheetml/2006/main" count="96" uniqueCount="96">
  <si>
    <t xml:space="preserve">Ecosystem Vitality ECO </t>
  </si>
  <si>
    <t xml:space="preserve">Environmental Health HLT </t>
  </si>
  <si>
    <t>IDAC</t>
  </si>
  <si>
    <t>Canton</t>
  </si>
  <si>
    <t>TPA</t>
  </si>
  <si>
    <t>TKP</t>
  </si>
  <si>
    <t>FA</t>
  </si>
  <si>
    <t>WPC</t>
  </si>
  <si>
    <t>WRR</t>
  </si>
  <si>
    <t>San Jose</t>
  </si>
  <si>
    <t>Escazu</t>
  </si>
  <si>
    <t>Desamparados</t>
  </si>
  <si>
    <t>Puriscal</t>
  </si>
  <si>
    <t>Tarrazu</t>
  </si>
  <si>
    <t>Aserri</t>
  </si>
  <si>
    <t>Mora</t>
  </si>
  <si>
    <t>Goicoechea</t>
  </si>
  <si>
    <t>Santa Ana</t>
  </si>
  <si>
    <t>Alajuelita</t>
  </si>
  <si>
    <t>Vazquez de Coronado</t>
  </si>
  <si>
    <t>Acosta</t>
  </si>
  <si>
    <t>Tibas</t>
  </si>
  <si>
    <t>Moravia</t>
  </si>
  <si>
    <t>Montes de Oca</t>
  </si>
  <si>
    <t>Turrubares</t>
  </si>
  <si>
    <t>Dota</t>
  </si>
  <si>
    <t>Curridabat</t>
  </si>
  <si>
    <t>Perez Zeledon</t>
  </si>
  <si>
    <t>Leon Cortes Castro</t>
  </si>
  <si>
    <t>Alajuela</t>
  </si>
  <si>
    <t>San Ramon</t>
  </si>
  <si>
    <t>Grecia</t>
  </si>
  <si>
    <t>San Mateo</t>
  </si>
  <si>
    <t>Atenas</t>
  </si>
  <si>
    <t>Naranjo</t>
  </si>
  <si>
    <t>Palmares</t>
  </si>
  <si>
    <t>Poas</t>
  </si>
  <si>
    <t>Orotina</t>
  </si>
  <si>
    <t>San Carlos</t>
  </si>
  <si>
    <t>Zarcero</t>
  </si>
  <si>
    <t>Sarchi</t>
  </si>
  <si>
    <t>Upala</t>
  </si>
  <si>
    <t>Los Chiles</t>
  </si>
  <si>
    <t>Guatuso</t>
  </si>
  <si>
    <t>Rio Cuarto</t>
  </si>
  <si>
    <t>Cartago</t>
  </si>
  <si>
    <t>Paraiso</t>
  </si>
  <si>
    <t>La Union</t>
  </si>
  <si>
    <t>Jimenez</t>
  </si>
  <si>
    <t>Turrialba</t>
  </si>
  <si>
    <t>Alvarado</t>
  </si>
  <si>
    <t>Oreamuno</t>
  </si>
  <si>
    <t>El Guarco</t>
  </si>
  <si>
    <t>Heredia</t>
  </si>
  <si>
    <t>Barva</t>
  </si>
  <si>
    <t>Santo Domingo</t>
  </si>
  <si>
    <t>Santa Barbara</t>
  </si>
  <si>
    <t>San Rafael</t>
  </si>
  <si>
    <t>San Isidro</t>
  </si>
  <si>
    <t>Belen</t>
  </si>
  <si>
    <t>Flores</t>
  </si>
  <si>
    <t>San Pablo</t>
  </si>
  <si>
    <t>Sarapiqui</t>
  </si>
  <si>
    <t>Liberia</t>
  </si>
  <si>
    <t>Nicoya</t>
  </si>
  <si>
    <t>Santa Cruz</t>
  </si>
  <si>
    <t>Bagaces</t>
  </si>
  <si>
    <t>Carrillo</t>
  </si>
  <si>
    <t>Cañas</t>
  </si>
  <si>
    <t>Abangares</t>
  </si>
  <si>
    <t>Tilaran</t>
  </si>
  <si>
    <t>Nandayure</t>
  </si>
  <si>
    <t>La Cruz</t>
  </si>
  <si>
    <t>Hojancha</t>
  </si>
  <si>
    <t>Puntarenas</t>
  </si>
  <si>
    <t>Esparza</t>
  </si>
  <si>
    <t>Buenos Aires</t>
  </si>
  <si>
    <t>Montes de Oro</t>
  </si>
  <si>
    <t>Osa</t>
  </si>
  <si>
    <t>Quepos</t>
  </si>
  <si>
    <t>Golfito</t>
  </si>
  <si>
    <t>Coto Brus</t>
  </si>
  <si>
    <t>Parrita</t>
  </si>
  <si>
    <t>Corredores</t>
  </si>
  <si>
    <t>Garabito</t>
  </si>
  <si>
    <t>Monteverde</t>
  </si>
  <si>
    <t>Puerto Jimenez</t>
  </si>
  <si>
    <t>Limon</t>
  </si>
  <si>
    <t>Pococi</t>
  </si>
  <si>
    <t>Siquirres</t>
  </si>
  <si>
    <t>Talamanca</t>
  </si>
  <si>
    <t>Matina</t>
  </si>
  <si>
    <t>Guacimo</t>
  </si>
  <si>
    <t>Arit</t>
  </si>
  <si>
    <t>Geom</t>
  </si>
  <si>
    <t>Ponderado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</si>
</sst>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8" xfId="0" applyFont="1" applyBorder="1"/>
    <xf numFmtId="0" fontId="0" fillId="0" borderId="10" xfId="0" applyBorder="1"/>
    <xf numFmtId="0" fontId="0" fillId="0" borderId="9" xfId="0" applyBorder="1"/>
    <xf numFmtId="0" fontId="1" fillId="0" borderId="7" xfId="0" applyFont="1" applyBorder="1"/>
    <xf numFmtId="0" fontId="1" fillId="0" borderId="13" xfId="0" applyFont="1" applyBorder="1" applyAlignment="1">
      <alignment horizontal="center"/>
    </xf>
    <xf numFmtId="164" fontId="0" fillId="0" borderId="0" xfId="0" applyNumberFormat="1"/>
    <xf numFmtId="164" fontId="0" fillId="0" borderId="5" xfId="0" applyNumberFormat="1" applyBorder="1"/>
    <xf numFmtId="164" fontId="0" fillId="0" borderId="4" xfId="0" applyNumberFormat="1" applyBorder="1"/>
    <xf numFmtId="164" fontId="0" fillId="0" borderId="6" xfId="0" applyNumberFormat="1" applyBorder="1"/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164" fontId="0" fillId="0" borderId="2" xfId="0" applyNumberFormat="1" applyBorder="1"/>
    <xf numFmtId="164" fontId="0" fillId="0" borderId="3" xfId="0" applyNumberFormat="1" applyBorder="1"/>
    <xf numFmtId="164" fontId="0" fillId="0" borderId="1" xfId="0" applyNumberFormat="1" applyBorder="1"/>
    <xf numFmtId="0" fontId="1" fillId="0" borderId="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A8B85-8803-498B-B8DF-04C8FB253F51}">
  <dimension ref="A1:I86"/>
  <sheetViews>
    <sheetView tabSelected="1" zoomScale="193" workbookViewId="0">
      <selection activeCell="J71" sqref="J71"/>
    </sheetView>
  </sheetViews>
  <sheetFormatPr baseColWidth="10" defaultColWidth="8.83203125" defaultRowHeight="15" x14ac:dyDescent="0.2"/>
  <cols>
    <col min="1" max="1" width="18.5" bestFit="1" customWidth="1"/>
    <col min="2" max="2" width="7" customWidth="1"/>
    <col min="3" max="3" width="8" customWidth="1"/>
    <col min="4" max="4" width="7.83203125" customWidth="1"/>
    <col min="5" max="5" width="11.1640625" customWidth="1"/>
    <col min="6" max="6" width="11.83203125" customWidth="1"/>
    <col min="7" max="7" width="7" customWidth="1"/>
    <col min="8" max="8" width="8.33203125" customWidth="1"/>
    <col min="9" max="9" width="10" bestFit="1" customWidth="1"/>
  </cols>
  <sheetData>
    <row r="1" spans="1:9" ht="16" thickBot="1" x14ac:dyDescent="0.25">
      <c r="A1" s="1"/>
      <c r="B1" s="16" t="s">
        <v>0</v>
      </c>
      <c r="C1" s="17"/>
      <c r="D1" s="18"/>
      <c r="E1" s="16" t="s">
        <v>1</v>
      </c>
      <c r="F1" s="17"/>
      <c r="G1" s="16" t="s">
        <v>2</v>
      </c>
      <c r="H1" s="17"/>
      <c r="I1" s="18"/>
    </row>
    <row r="2" spans="1:9" ht="16" thickBot="1" x14ac:dyDescent="0.25">
      <c r="A2" s="4" t="s">
        <v>3</v>
      </c>
      <c r="B2" s="15" t="s">
        <v>4</v>
      </c>
      <c r="C2" s="15" t="s">
        <v>5</v>
      </c>
      <c r="D2" s="15" t="s">
        <v>6</v>
      </c>
      <c r="E2" s="15" t="s">
        <v>7</v>
      </c>
      <c r="F2" s="15" t="s">
        <v>8</v>
      </c>
      <c r="G2" s="10" t="s">
        <v>93</v>
      </c>
      <c r="H2" s="11" t="s">
        <v>94</v>
      </c>
      <c r="I2" s="5" t="s">
        <v>95</v>
      </c>
    </row>
    <row r="3" spans="1:9" x14ac:dyDescent="0.2">
      <c r="A3" s="2" t="s">
        <v>9</v>
      </c>
      <c r="B3">
        <v>0</v>
      </c>
      <c r="C3">
        <v>0</v>
      </c>
      <c r="D3" s="6">
        <v>2.2592694283497285E-2</v>
      </c>
      <c r="E3" s="6">
        <v>5.6798751095864235E-2</v>
      </c>
      <c r="F3" s="6">
        <v>1.5690269994905755E-2</v>
      </c>
      <c r="G3" s="12">
        <f>AVERAGE(B3,C3,D3,E3,F3)</f>
        <v>1.9016343074853455E-2</v>
      </c>
      <c r="H3" s="14">
        <f>POWER(PRODUCT(MAX(0.001,B3),MAX(0.001,C3),MAX(0.001,D3),MAX(0.001,E3),MAX(0.001,F3)),1/5)</f>
        <v>7.2575067060262751E-3</v>
      </c>
      <c r="I3" s="7">
        <f>0.6*AVERAGE(B3,C3,D3)+0.4*AVERAGE(E3,F3)</f>
        <v>1.9016343074853455E-2</v>
      </c>
    </row>
    <row r="4" spans="1:9" x14ac:dyDescent="0.2">
      <c r="A4" s="2" t="s">
        <v>10</v>
      </c>
      <c r="B4" s="6">
        <v>0.21859464927785241</v>
      </c>
      <c r="C4" s="6">
        <v>0.89786635520000002</v>
      </c>
      <c r="D4" s="6">
        <v>0.19868222214409056</v>
      </c>
      <c r="E4" s="6">
        <v>0.60218289791808732</v>
      </c>
      <c r="F4" s="6">
        <v>9.5771777890983192E-2</v>
      </c>
      <c r="G4" s="12">
        <f t="shared" ref="G4:G67" si="0">AVERAGE(B4,C4,D4,E4,F4)</f>
        <v>0.40261958048620272</v>
      </c>
      <c r="H4" s="6">
        <f t="shared" ref="H4:H67" si="1">POWER(PRODUCT(MAX(0.001,B4),MAX(0.001,C4),MAX(0.001,D4),MAX(0.001,E4),MAX(0.001,F4)),1/5)</f>
        <v>0.29538962683103653</v>
      </c>
      <c r="I4" s="7">
        <f t="shared" ref="I4:I67" si="2">0.6*AVERAGE(B4,C4,D4)+0.4*AVERAGE(E4,F4)</f>
        <v>0.40261958048620272</v>
      </c>
    </row>
    <row r="5" spans="1:9" x14ac:dyDescent="0.2">
      <c r="A5" s="2" t="s">
        <v>11</v>
      </c>
      <c r="B5" s="6">
        <v>4.1091268535116715E-2</v>
      </c>
      <c r="C5" s="6">
        <v>7.2975356239999997E-2</v>
      </c>
      <c r="D5" s="6">
        <v>0.31669273748993215</v>
      </c>
      <c r="E5" s="6">
        <v>0.77309014063269932</v>
      </c>
      <c r="F5" s="6">
        <v>7.4783494651044308E-2</v>
      </c>
      <c r="G5" s="12">
        <f t="shared" si="0"/>
        <v>0.25572659950975851</v>
      </c>
      <c r="H5" s="6">
        <f t="shared" si="1"/>
        <v>0.14057883936921353</v>
      </c>
      <c r="I5" s="7">
        <f t="shared" si="2"/>
        <v>0.25572659950975851</v>
      </c>
    </row>
    <row r="6" spans="1:9" x14ac:dyDescent="0.2">
      <c r="A6" s="2" t="s">
        <v>12</v>
      </c>
      <c r="B6" s="6">
        <v>5.2321876328714184E-2</v>
      </c>
      <c r="C6" s="6">
        <v>0.17573206599999999</v>
      </c>
      <c r="D6" s="6">
        <v>0.61840825959841161</v>
      </c>
      <c r="E6" s="6">
        <v>0.93929754152888412</v>
      </c>
      <c r="F6" s="6">
        <v>0.21079979623025979</v>
      </c>
      <c r="G6" s="12">
        <f t="shared" si="0"/>
        <v>0.39931190793725391</v>
      </c>
      <c r="H6" s="6">
        <f t="shared" si="1"/>
        <v>0.25721518004758914</v>
      </c>
      <c r="I6" s="7">
        <f t="shared" si="2"/>
        <v>0.39931190793725391</v>
      </c>
    </row>
    <row r="7" spans="1:9" x14ac:dyDescent="0.2">
      <c r="A7" s="2" t="s">
        <v>13</v>
      </c>
      <c r="B7" s="6">
        <v>0.11490720793083829</v>
      </c>
      <c r="C7" s="6">
        <v>0.12690791360000001</v>
      </c>
      <c r="D7" s="6">
        <v>0.60864877451847943</v>
      </c>
      <c r="E7" s="6">
        <v>0.89316482811346598</v>
      </c>
      <c r="F7" s="6">
        <v>0.13418237391747326</v>
      </c>
      <c r="G7" s="12">
        <f t="shared" si="0"/>
        <v>0.37556221961605141</v>
      </c>
      <c r="H7" s="6">
        <f t="shared" si="1"/>
        <v>0.25431147828642309</v>
      </c>
      <c r="I7" s="7">
        <f t="shared" si="2"/>
        <v>0.37556221961605141</v>
      </c>
    </row>
    <row r="8" spans="1:9" x14ac:dyDescent="0.2">
      <c r="A8" s="2" t="s">
        <v>14</v>
      </c>
      <c r="B8" s="6">
        <v>0.13741351154834983</v>
      </c>
      <c r="C8" s="6">
        <v>0.28882548899999999</v>
      </c>
      <c r="D8" s="6">
        <v>0.43454285203229093</v>
      </c>
      <c r="E8" s="6">
        <v>0.84721326382834083</v>
      </c>
      <c r="F8" s="6">
        <v>9.2817116658176241E-2</v>
      </c>
      <c r="G8" s="12">
        <f t="shared" si="0"/>
        <v>0.36016244661343155</v>
      </c>
      <c r="H8" s="6">
        <f t="shared" si="1"/>
        <v>0.26697074721926201</v>
      </c>
      <c r="I8" s="7">
        <f t="shared" si="2"/>
        <v>0.36016244661343155</v>
      </c>
    </row>
    <row r="9" spans="1:9" x14ac:dyDescent="0.2">
      <c r="A9" s="2" t="s">
        <v>15</v>
      </c>
      <c r="B9" s="6">
        <v>0.29935902791905666</v>
      </c>
      <c r="C9" s="6">
        <v>0.60843903970000002</v>
      </c>
      <c r="D9" s="6">
        <v>0.63272408418349924</v>
      </c>
      <c r="E9" s="6">
        <v>0.82671865232249464</v>
      </c>
      <c r="F9" s="6">
        <v>0.41966377992868054</v>
      </c>
      <c r="G9" s="12">
        <f t="shared" si="0"/>
        <v>0.55738091681074631</v>
      </c>
      <c r="H9" s="6">
        <f t="shared" si="1"/>
        <v>0.52526275165839065</v>
      </c>
      <c r="I9" s="7">
        <f t="shared" si="2"/>
        <v>0.5573809168107462</v>
      </c>
    </row>
    <row r="10" spans="1:9" x14ac:dyDescent="0.2">
      <c r="A10" s="2" t="s">
        <v>16</v>
      </c>
      <c r="B10" s="6">
        <v>0.10447950524613703</v>
      </c>
      <c r="C10" s="6">
        <v>0.62328888969999996</v>
      </c>
      <c r="D10" s="6">
        <v>0.23824741924488987</v>
      </c>
      <c r="E10" s="6">
        <v>0.80711825053710418</v>
      </c>
      <c r="F10" s="6">
        <v>1.4467651553744267E-2</v>
      </c>
      <c r="G10" s="12">
        <f t="shared" si="0"/>
        <v>0.35752034325637505</v>
      </c>
      <c r="H10" s="6">
        <f t="shared" si="1"/>
        <v>0.17849118843988893</v>
      </c>
      <c r="I10" s="7">
        <f t="shared" si="2"/>
        <v>0.35752034325637505</v>
      </c>
    </row>
    <row r="11" spans="1:9" x14ac:dyDescent="0.2">
      <c r="A11" s="2" t="s">
        <v>17</v>
      </c>
      <c r="B11" s="6">
        <v>0.40747645884377987</v>
      </c>
      <c r="C11" s="6">
        <v>0.94955919469999994</v>
      </c>
      <c r="D11" s="6">
        <v>0.34018404149453618</v>
      </c>
      <c r="E11" s="6">
        <v>0.73737741523671763</v>
      </c>
      <c r="F11" s="6">
        <v>0.13897096281202242</v>
      </c>
      <c r="G11" s="12">
        <f t="shared" si="0"/>
        <v>0.51471361461741127</v>
      </c>
      <c r="H11" s="6">
        <f t="shared" si="1"/>
        <v>0.42265934944941341</v>
      </c>
      <c r="I11" s="7">
        <f t="shared" si="2"/>
        <v>0.51471361461741116</v>
      </c>
    </row>
    <row r="12" spans="1:9" x14ac:dyDescent="0.2">
      <c r="A12" s="2" t="s">
        <v>18</v>
      </c>
      <c r="B12" s="6">
        <v>0.29881020156127081</v>
      </c>
      <c r="C12" s="6">
        <v>1</v>
      </c>
      <c r="D12" s="6">
        <v>0.21098209485135935</v>
      </c>
      <c r="E12" s="6">
        <v>0.9079761586405557</v>
      </c>
      <c r="F12" s="6">
        <v>0</v>
      </c>
      <c r="G12" s="12">
        <f t="shared" si="0"/>
        <v>0.48355369101063717</v>
      </c>
      <c r="H12" s="6">
        <f t="shared" si="1"/>
        <v>0.14175653632806975</v>
      </c>
      <c r="I12" s="7">
        <f t="shared" si="2"/>
        <v>0.48355369101063717</v>
      </c>
    </row>
    <row r="13" spans="1:9" x14ac:dyDescent="0.2">
      <c r="A13" s="2" t="s">
        <v>19</v>
      </c>
      <c r="B13" s="6">
        <v>0.85090754208428276</v>
      </c>
      <c r="C13" s="6">
        <v>0.96896045980000001</v>
      </c>
      <c r="D13" s="6">
        <v>0.86022237923367806</v>
      </c>
      <c r="E13" s="6">
        <v>0.89819008608927986</v>
      </c>
      <c r="F13" s="6">
        <v>1.6709118695873659E-2</v>
      </c>
      <c r="G13" s="12">
        <f t="shared" si="0"/>
        <v>0.71899791718062289</v>
      </c>
      <c r="H13" s="6">
        <f t="shared" si="1"/>
        <v>0.40311057677627649</v>
      </c>
      <c r="I13" s="7">
        <f t="shared" si="2"/>
        <v>0.71899791718062289</v>
      </c>
    </row>
    <row r="14" spans="1:9" x14ac:dyDescent="0.2">
      <c r="A14" s="2" t="s">
        <v>20</v>
      </c>
      <c r="B14" s="6">
        <v>8.9938275902352788E-2</v>
      </c>
      <c r="C14" s="6">
        <v>0.36136566149999999</v>
      </c>
      <c r="D14" s="6">
        <v>0.6032041295513374</v>
      </c>
      <c r="E14" s="6">
        <v>0.89400432776137573</v>
      </c>
      <c r="F14" s="6">
        <v>0.36128374936321955</v>
      </c>
      <c r="G14" s="12">
        <f t="shared" si="0"/>
        <v>0.46195922881565715</v>
      </c>
      <c r="H14" s="6">
        <f t="shared" si="1"/>
        <v>0.36333627453554679</v>
      </c>
      <c r="I14" s="7">
        <f t="shared" si="2"/>
        <v>0.4619592288156571</v>
      </c>
    </row>
    <row r="15" spans="1:9" x14ac:dyDescent="0.2">
      <c r="A15" s="2" t="s">
        <v>21</v>
      </c>
      <c r="B15">
        <v>0</v>
      </c>
      <c r="C15">
        <v>0</v>
      </c>
      <c r="D15" s="6">
        <v>5.7089384273008498E-2</v>
      </c>
      <c r="E15" s="6">
        <v>0.34190320823261539</v>
      </c>
      <c r="F15" s="6">
        <v>7.7432501273560876E-3</v>
      </c>
      <c r="G15" s="12">
        <f t="shared" si="0"/>
        <v>8.1347168526596E-2</v>
      </c>
      <c r="H15" s="6">
        <f t="shared" si="1"/>
        <v>1.0861163830579409E-2</v>
      </c>
      <c r="I15" s="7">
        <f t="shared" si="2"/>
        <v>8.1347168526596E-2</v>
      </c>
    </row>
    <row r="16" spans="1:9" x14ac:dyDescent="0.2">
      <c r="A16" s="2" t="s">
        <v>22</v>
      </c>
      <c r="B16" s="6">
        <v>0.15751998733129099</v>
      </c>
      <c r="C16" s="6">
        <v>0.71944796519999998</v>
      </c>
      <c r="D16" s="6">
        <v>0.47033909121211892</v>
      </c>
      <c r="E16" s="6">
        <v>0.67592341663129252</v>
      </c>
      <c r="F16" s="6">
        <v>4.1569026999490576E-2</v>
      </c>
      <c r="G16" s="12">
        <f t="shared" si="0"/>
        <v>0.41295989747483863</v>
      </c>
      <c r="H16" s="6">
        <f t="shared" si="1"/>
        <v>0.27232198045118849</v>
      </c>
      <c r="I16" s="7">
        <f t="shared" si="2"/>
        <v>0.41295989747483863</v>
      </c>
    </row>
    <row r="17" spans="1:9" x14ac:dyDescent="0.2">
      <c r="A17" s="2" t="s">
        <v>23</v>
      </c>
      <c r="B17" s="6">
        <v>9.5530776665977129E-3</v>
      </c>
      <c r="C17">
        <v>0</v>
      </c>
      <c r="D17" s="6">
        <v>0.19865066408491816</v>
      </c>
      <c r="E17" s="6">
        <v>0.79273071296594533</v>
      </c>
      <c r="F17" s="6">
        <v>8.028527763627101E-2</v>
      </c>
      <c r="G17" s="12">
        <f t="shared" si="0"/>
        <v>0.21624394647074646</v>
      </c>
      <c r="H17" s="6">
        <f t="shared" si="1"/>
        <v>4.1342714236050064E-2</v>
      </c>
      <c r="I17" s="7">
        <f t="shared" si="2"/>
        <v>0.21624394647074646</v>
      </c>
    </row>
    <row r="18" spans="1:9" x14ac:dyDescent="0.2">
      <c r="A18" s="2" t="s">
        <v>24</v>
      </c>
      <c r="B18" s="6">
        <v>0.18117765609499478</v>
      </c>
      <c r="C18" s="6">
        <v>0.2984669848</v>
      </c>
      <c r="D18" s="6">
        <v>0.75361133923481149</v>
      </c>
      <c r="E18" s="6">
        <v>0.96873409416372569</v>
      </c>
      <c r="F18" s="6">
        <v>1.7422312786551195E-2</v>
      </c>
      <c r="G18" s="12">
        <f t="shared" si="0"/>
        <v>0.44388247741601666</v>
      </c>
      <c r="H18" s="6">
        <f t="shared" si="1"/>
        <v>0.23307288404622151</v>
      </c>
      <c r="I18" s="7">
        <f t="shared" si="2"/>
        <v>0.44388247741601666</v>
      </c>
    </row>
    <row r="19" spans="1:9" x14ac:dyDescent="0.2">
      <c r="A19" s="2" t="s">
        <v>25</v>
      </c>
      <c r="B19" s="6">
        <v>1</v>
      </c>
      <c r="C19" s="6">
        <v>0.88474868420000008</v>
      </c>
      <c r="D19" s="6">
        <v>0.87201336108838878</v>
      </c>
      <c r="E19" s="6">
        <v>0.92672688790261304</v>
      </c>
      <c r="F19" s="6">
        <v>0.35476311767702495</v>
      </c>
      <c r="G19" s="12">
        <f t="shared" si="0"/>
        <v>0.80765041017360539</v>
      </c>
      <c r="H19" s="6">
        <f t="shared" si="1"/>
        <v>0.76005786650460094</v>
      </c>
      <c r="I19" s="7">
        <f t="shared" si="2"/>
        <v>0.80765041017360539</v>
      </c>
    </row>
    <row r="20" spans="1:9" x14ac:dyDescent="0.2">
      <c r="A20" s="2" t="s">
        <v>26</v>
      </c>
      <c r="B20" s="6">
        <v>1.7752656025091788E-2</v>
      </c>
      <c r="C20" s="6">
        <v>0.92198758449999996</v>
      </c>
      <c r="D20" s="6">
        <v>7.9782243224614004E-3</v>
      </c>
      <c r="E20" s="6">
        <v>0.83852589622549223</v>
      </c>
      <c r="F20" s="6">
        <v>4.768211920529801E-2</v>
      </c>
      <c r="G20" s="12">
        <f t="shared" si="0"/>
        <v>0.36678529605566867</v>
      </c>
      <c r="H20" s="6">
        <f t="shared" si="1"/>
        <v>8.7811892403154013E-2</v>
      </c>
      <c r="I20" s="7">
        <f t="shared" si="2"/>
        <v>0.36678529605566867</v>
      </c>
    </row>
    <row r="21" spans="1:9" x14ac:dyDescent="0.2">
      <c r="A21" s="2" t="s">
        <v>27</v>
      </c>
      <c r="B21" s="6">
        <v>0.25173747445983063</v>
      </c>
      <c r="C21" s="6">
        <v>0.43109989949999999</v>
      </c>
      <c r="D21" s="6">
        <v>0.55669309552332136</v>
      </c>
      <c r="E21" s="6">
        <v>0.87907821147261178</v>
      </c>
      <c r="F21" s="6">
        <v>0.41630157921548649</v>
      </c>
      <c r="G21" s="12">
        <f t="shared" si="0"/>
        <v>0.50698205203425006</v>
      </c>
      <c r="H21" s="6">
        <f t="shared" si="1"/>
        <v>0.46656852785872188</v>
      </c>
      <c r="I21" s="7">
        <f t="shared" si="2"/>
        <v>0.50698205203425006</v>
      </c>
    </row>
    <row r="22" spans="1:9" x14ac:dyDescent="0.2">
      <c r="A22" s="2" t="s">
        <v>28</v>
      </c>
      <c r="B22" s="6">
        <v>6.8845803040909863E-3</v>
      </c>
      <c r="C22" s="6">
        <v>7.874599060000001E-3</v>
      </c>
      <c r="D22" s="6">
        <v>0.30687927118037439</v>
      </c>
      <c r="E22" s="6">
        <v>0.89554440963243298</v>
      </c>
      <c r="F22" s="6">
        <v>0.30830361691288843</v>
      </c>
      <c r="G22" s="12">
        <f t="shared" si="0"/>
        <v>0.30509729541795733</v>
      </c>
      <c r="H22" s="6">
        <f t="shared" si="1"/>
        <v>8.559094952170726E-2</v>
      </c>
      <c r="I22" s="7">
        <f t="shared" si="2"/>
        <v>0.30509729541795738</v>
      </c>
    </row>
    <row r="23" spans="1:9" x14ac:dyDescent="0.2">
      <c r="A23" s="2" t="s">
        <v>29</v>
      </c>
      <c r="B23" s="6">
        <v>0.11467967624678456</v>
      </c>
      <c r="C23" s="6">
        <v>0.36109462079999999</v>
      </c>
      <c r="D23" s="6">
        <v>0.40901415796884827</v>
      </c>
      <c r="E23" s="6">
        <v>0.84061994220544245</v>
      </c>
      <c r="F23" s="6">
        <v>4.2893530310748849E-2</v>
      </c>
      <c r="G23" s="12">
        <f t="shared" si="0"/>
        <v>0.35366038550636486</v>
      </c>
      <c r="H23" s="6">
        <f t="shared" si="1"/>
        <v>0.22759748556376591</v>
      </c>
      <c r="I23" s="7">
        <f t="shared" si="2"/>
        <v>0.3536603855063648</v>
      </c>
    </row>
    <row r="24" spans="1:9" x14ac:dyDescent="0.2">
      <c r="A24" s="2" t="s">
        <v>30</v>
      </c>
      <c r="B24" s="6">
        <v>0.35802861401472819</v>
      </c>
      <c r="C24" s="6">
        <v>0.89036936190000004</v>
      </c>
      <c r="D24" s="6">
        <v>0.71925277567461654</v>
      </c>
      <c r="E24" s="6">
        <v>0.86026468056115946</v>
      </c>
      <c r="F24" s="6">
        <v>3.4233316352521651E-2</v>
      </c>
      <c r="G24" s="12">
        <f t="shared" si="0"/>
        <v>0.57242974970060512</v>
      </c>
      <c r="H24" s="6">
        <f t="shared" si="1"/>
        <v>0.36803583858255973</v>
      </c>
      <c r="I24" s="7">
        <f t="shared" si="2"/>
        <v>0.57242974970060523</v>
      </c>
    </row>
    <row r="25" spans="1:9" x14ac:dyDescent="0.2">
      <c r="A25" s="2" t="s">
        <v>31</v>
      </c>
      <c r="B25" s="6">
        <v>0.19458489121984857</v>
      </c>
      <c r="C25" s="6">
        <v>0.99182513029999997</v>
      </c>
      <c r="D25" s="6">
        <v>0.2996734847347084</v>
      </c>
      <c r="E25" s="6">
        <v>0.89604642640257903</v>
      </c>
      <c r="F25" s="6">
        <v>0.19969434538970962</v>
      </c>
      <c r="G25" s="12">
        <f t="shared" si="0"/>
        <v>0.51636485560936918</v>
      </c>
      <c r="H25" s="6">
        <f t="shared" si="1"/>
        <v>0.40084619394266169</v>
      </c>
      <c r="I25" s="7">
        <f t="shared" si="2"/>
        <v>0.51636485560936918</v>
      </c>
    </row>
    <row r="26" spans="1:9" x14ac:dyDescent="0.2">
      <c r="A26" s="2" t="s">
        <v>32</v>
      </c>
      <c r="B26">
        <v>0</v>
      </c>
      <c r="C26">
        <v>0</v>
      </c>
      <c r="D26" s="6">
        <v>0.56666335919341204</v>
      </c>
      <c r="E26" s="6">
        <v>0.92503903504067242</v>
      </c>
      <c r="F26" s="6">
        <v>0.20468670402445233</v>
      </c>
      <c r="G26" s="12">
        <f t="shared" si="0"/>
        <v>0.33927781965170734</v>
      </c>
      <c r="H26" s="6">
        <f t="shared" si="1"/>
        <v>4.0375225863873244E-2</v>
      </c>
      <c r="I26" s="7">
        <f t="shared" si="2"/>
        <v>0.33927781965170734</v>
      </c>
    </row>
    <row r="27" spans="1:9" x14ac:dyDescent="0.2">
      <c r="A27" s="2" t="s">
        <v>33</v>
      </c>
      <c r="B27" s="6">
        <v>0.15402126437686212</v>
      </c>
      <c r="C27">
        <v>0</v>
      </c>
      <c r="D27" s="6">
        <v>0.40365736710866401</v>
      </c>
      <c r="E27" s="6">
        <v>0.91972053114658925</v>
      </c>
      <c r="F27" s="6">
        <v>0.49006622516556292</v>
      </c>
      <c r="G27" s="12">
        <f t="shared" si="0"/>
        <v>0.39349307755953566</v>
      </c>
      <c r="H27" s="6">
        <f t="shared" si="1"/>
        <v>0.12288555754402215</v>
      </c>
      <c r="I27" s="7">
        <f t="shared" si="2"/>
        <v>0.39349307755953566</v>
      </c>
    </row>
    <row r="28" spans="1:9" x14ac:dyDescent="0.2">
      <c r="A28" s="2" t="s">
        <v>34</v>
      </c>
      <c r="B28" s="6">
        <v>0.11875981696650313</v>
      </c>
      <c r="C28" s="6">
        <v>0.8203721585</v>
      </c>
      <c r="D28" s="6">
        <v>0.14507874913495281</v>
      </c>
      <c r="E28" s="6">
        <v>0.87491199028938549</v>
      </c>
      <c r="F28" s="6">
        <v>0.1010697911360163</v>
      </c>
      <c r="G28" s="12">
        <f t="shared" si="0"/>
        <v>0.4120385012053715</v>
      </c>
      <c r="H28" s="6">
        <f t="shared" si="1"/>
        <v>0.26264793724038232</v>
      </c>
      <c r="I28" s="7">
        <f t="shared" si="2"/>
        <v>0.41203850120537155</v>
      </c>
    </row>
    <row r="29" spans="1:9" x14ac:dyDescent="0.2">
      <c r="A29" s="2" t="s">
        <v>35</v>
      </c>
      <c r="B29" s="6">
        <v>7.6544251187168448E-3</v>
      </c>
      <c r="C29">
        <v>0</v>
      </c>
      <c r="D29" s="6">
        <v>7.7704661279253975E-2</v>
      </c>
      <c r="E29" s="6">
        <v>0.91295873911428826</v>
      </c>
      <c r="F29" s="6">
        <v>2.1395822720326032E-3</v>
      </c>
      <c r="G29" s="12">
        <f t="shared" si="0"/>
        <v>0.20009148155685835</v>
      </c>
      <c r="H29" s="6">
        <f t="shared" si="1"/>
        <v>1.6331570811876757E-2</v>
      </c>
      <c r="I29" s="7">
        <f t="shared" si="2"/>
        <v>0.20009148155685835</v>
      </c>
    </row>
    <row r="30" spans="1:9" x14ac:dyDescent="0.2">
      <c r="A30" s="2" t="s">
        <v>36</v>
      </c>
      <c r="B30" s="6">
        <v>0.13089610651964081</v>
      </c>
      <c r="C30" s="6">
        <v>0.89111282339999998</v>
      </c>
      <c r="D30" s="6">
        <v>0.27219053818134059</v>
      </c>
      <c r="E30" s="6">
        <v>0.90488966586856479</v>
      </c>
      <c r="F30" s="6">
        <v>0.87335710646968923</v>
      </c>
      <c r="G30" s="12">
        <f t="shared" si="0"/>
        <v>0.61448924808784722</v>
      </c>
      <c r="H30" s="6">
        <f t="shared" si="1"/>
        <v>0.47852428900488503</v>
      </c>
      <c r="I30" s="7">
        <f t="shared" si="2"/>
        <v>0.61448924808784711</v>
      </c>
    </row>
    <row r="31" spans="1:9" x14ac:dyDescent="0.2">
      <c r="A31" s="2" t="s">
        <v>37</v>
      </c>
      <c r="B31" s="6">
        <v>9.7560990310439234E-3</v>
      </c>
      <c r="C31">
        <v>0</v>
      </c>
      <c r="D31" s="6">
        <v>0.39058872927373101</v>
      </c>
      <c r="E31" s="6">
        <v>0.86582360005530123</v>
      </c>
      <c r="F31" s="6">
        <v>0.11329597554763116</v>
      </c>
      <c r="G31" s="12">
        <f t="shared" si="0"/>
        <v>0.27589288078154145</v>
      </c>
      <c r="H31" s="6">
        <f t="shared" si="1"/>
        <v>5.1823645751736397E-2</v>
      </c>
      <c r="I31" s="7">
        <f t="shared" si="2"/>
        <v>0.27589288078154151</v>
      </c>
    </row>
    <row r="32" spans="1:9" x14ac:dyDescent="0.2">
      <c r="A32" s="2" t="s">
        <v>38</v>
      </c>
      <c r="B32" s="6">
        <v>0.18050671892728307</v>
      </c>
      <c r="C32" s="6">
        <v>0.32653645040000001</v>
      </c>
      <c r="D32" s="6">
        <v>0.46365793061932431</v>
      </c>
      <c r="E32" s="6">
        <v>0.85651159366242025</v>
      </c>
      <c r="F32" s="6">
        <v>0.16403464085583291</v>
      </c>
      <c r="G32" s="12">
        <f t="shared" si="0"/>
        <v>0.39824946689297214</v>
      </c>
      <c r="H32" s="6">
        <f t="shared" si="1"/>
        <v>0.32874435947187458</v>
      </c>
      <c r="I32" s="7">
        <f t="shared" si="2"/>
        <v>0.39824946689297214</v>
      </c>
    </row>
    <row r="33" spans="1:9" x14ac:dyDescent="0.2">
      <c r="A33" s="2" t="s">
        <v>39</v>
      </c>
      <c r="B33" s="6">
        <v>0.13469564379060844</v>
      </c>
      <c r="C33" s="6">
        <v>0.75111761840000002</v>
      </c>
      <c r="D33" s="6">
        <v>0.36890299868770909</v>
      </c>
      <c r="E33" s="6">
        <v>0.94157288901586167</v>
      </c>
      <c r="F33" s="6">
        <v>0.14060112073357106</v>
      </c>
      <c r="G33" s="12">
        <f t="shared" si="0"/>
        <v>0.46737805412555</v>
      </c>
      <c r="H33" s="6">
        <f t="shared" si="1"/>
        <v>0.34575087074383071</v>
      </c>
      <c r="I33" s="7">
        <f t="shared" si="2"/>
        <v>0.46737805412555006</v>
      </c>
    </row>
    <row r="34" spans="1:9" x14ac:dyDescent="0.2">
      <c r="A34" s="2" t="s">
        <v>40</v>
      </c>
      <c r="B34" s="6">
        <v>0.66042920227337243</v>
      </c>
      <c r="C34" s="6">
        <v>0.78814075290000007</v>
      </c>
      <c r="D34" s="6">
        <v>0.7003368738957928</v>
      </c>
      <c r="E34" s="6">
        <v>0.79460801839938322</v>
      </c>
      <c r="F34" s="6">
        <v>7.1726948548140601E-2</v>
      </c>
      <c r="G34" s="12">
        <f t="shared" si="0"/>
        <v>0.60304835920333777</v>
      </c>
      <c r="H34" s="6">
        <f t="shared" si="1"/>
        <v>0.46080212043546637</v>
      </c>
      <c r="I34" s="7">
        <f t="shared" si="2"/>
        <v>0.60304835920333777</v>
      </c>
    </row>
    <row r="35" spans="1:9" x14ac:dyDescent="0.2">
      <c r="A35" s="2" t="s">
        <v>41</v>
      </c>
      <c r="B35" s="6">
        <v>0.18738786251373513</v>
      </c>
      <c r="C35" s="6">
        <v>0.38619727100000001</v>
      </c>
      <c r="D35" s="6">
        <v>0.55898444580829221</v>
      </c>
      <c r="E35" s="6">
        <v>0.95274484965726658</v>
      </c>
      <c r="F35" s="6">
        <v>0.18665308201732042</v>
      </c>
      <c r="G35" s="12">
        <f t="shared" si="0"/>
        <v>0.4543935021993229</v>
      </c>
      <c r="H35" s="6">
        <f t="shared" si="1"/>
        <v>0.3727283538864854</v>
      </c>
      <c r="I35" s="7">
        <f t="shared" si="2"/>
        <v>0.45439350219932284</v>
      </c>
    </row>
    <row r="36" spans="1:9" x14ac:dyDescent="0.2">
      <c r="A36" s="2" t="s">
        <v>42</v>
      </c>
      <c r="B36" s="6">
        <v>0.16350664170860876</v>
      </c>
      <c r="C36" s="6">
        <v>0.35221518490000003</v>
      </c>
      <c r="D36" s="6">
        <v>0.37913921330224681</v>
      </c>
      <c r="E36" s="6">
        <v>0.97424862047981231</v>
      </c>
      <c r="F36" s="6">
        <v>0.30361691288843606</v>
      </c>
      <c r="G36" s="12">
        <f t="shared" si="0"/>
        <v>0.4345453146558208</v>
      </c>
      <c r="H36" s="6">
        <f t="shared" si="1"/>
        <v>0.3647771179229457</v>
      </c>
      <c r="I36" s="7">
        <f t="shared" si="2"/>
        <v>0.4345453146558208</v>
      </c>
    </row>
    <row r="37" spans="1:9" x14ac:dyDescent="0.2">
      <c r="A37" s="2" t="s">
        <v>43</v>
      </c>
      <c r="B37" s="6">
        <v>0.203223952724642</v>
      </c>
      <c r="C37" s="6">
        <v>0.59055943319999993</v>
      </c>
      <c r="D37" s="6">
        <v>0.46932190655984185</v>
      </c>
      <c r="E37" s="6">
        <v>0.95408125159494006</v>
      </c>
      <c r="F37" s="6">
        <v>8.5379521141110554E-2</v>
      </c>
      <c r="G37" s="12">
        <f t="shared" si="0"/>
        <v>0.46051321304410681</v>
      </c>
      <c r="H37" s="6">
        <f t="shared" si="1"/>
        <v>0.34066669843537978</v>
      </c>
      <c r="I37" s="7">
        <f t="shared" si="2"/>
        <v>0.46051321304410681</v>
      </c>
    </row>
    <row r="38" spans="1:9" x14ac:dyDescent="0.2">
      <c r="A38" s="2" t="s">
        <v>44</v>
      </c>
      <c r="B38" s="6">
        <v>8.389466877916639E-2</v>
      </c>
      <c r="C38" s="6">
        <v>0.20402945219999999</v>
      </c>
      <c r="D38" s="6">
        <v>0.41838181307445926</v>
      </c>
      <c r="E38" s="6">
        <v>0.99849604540947412</v>
      </c>
      <c r="F38" s="6">
        <v>0</v>
      </c>
      <c r="G38" s="12">
        <f t="shared" si="0"/>
        <v>0.34096039589261995</v>
      </c>
      <c r="H38" s="6">
        <f t="shared" si="1"/>
        <v>9.3512415393317297E-2</v>
      </c>
      <c r="I38" s="7">
        <f t="shared" si="2"/>
        <v>0.34096039589261995</v>
      </c>
    </row>
    <row r="39" spans="1:9" x14ac:dyDescent="0.2">
      <c r="A39" s="2" t="s">
        <v>45</v>
      </c>
      <c r="B39" s="6">
        <v>0.36108926130540836</v>
      </c>
      <c r="C39" s="6">
        <v>0.72798406589999998</v>
      </c>
      <c r="D39" s="6">
        <v>0.51205088097232621</v>
      </c>
      <c r="E39" s="6">
        <v>0.36356024574537943</v>
      </c>
      <c r="F39" s="6">
        <v>3.6678553234844617E-3</v>
      </c>
      <c r="G39" s="12">
        <f t="shared" si="0"/>
        <v>0.39367046184931975</v>
      </c>
      <c r="H39" s="6">
        <f t="shared" si="1"/>
        <v>0.17815894400017415</v>
      </c>
      <c r="I39" s="7">
        <f t="shared" si="2"/>
        <v>0.3936704618493197</v>
      </c>
    </row>
    <row r="40" spans="1:9" x14ac:dyDescent="0.2">
      <c r="A40" s="2" t="s">
        <v>46</v>
      </c>
      <c r="B40" s="6">
        <v>0.73128197353892521</v>
      </c>
      <c r="C40" s="6">
        <v>0.83891704779999998</v>
      </c>
      <c r="D40" s="6">
        <v>0.86956884650819477</v>
      </c>
      <c r="E40" s="6">
        <v>0.92708447135210459</v>
      </c>
      <c r="F40" s="6">
        <v>5.1451859398879266E-2</v>
      </c>
      <c r="G40" s="12">
        <f t="shared" si="0"/>
        <v>0.68366083971962088</v>
      </c>
      <c r="H40" s="6">
        <f t="shared" si="1"/>
        <v>0.47987226310232256</v>
      </c>
      <c r="I40" s="7">
        <f t="shared" si="2"/>
        <v>0.68366083971962088</v>
      </c>
    </row>
    <row r="41" spans="1:9" x14ac:dyDescent="0.2">
      <c r="A41" s="2" t="s">
        <v>47</v>
      </c>
      <c r="B41" s="6">
        <v>0.33270597393012791</v>
      </c>
      <c r="C41" s="6">
        <v>0.89546928329999997</v>
      </c>
      <c r="D41" s="6">
        <v>0.3056969838589455</v>
      </c>
      <c r="E41" s="6">
        <v>0.84619064182717862</v>
      </c>
      <c r="F41" s="6">
        <v>0.62485990830361682</v>
      </c>
      <c r="G41" s="12">
        <f t="shared" si="0"/>
        <v>0.60098455824397379</v>
      </c>
      <c r="H41" s="6">
        <f t="shared" si="1"/>
        <v>0.5451683879273771</v>
      </c>
      <c r="I41" s="7">
        <f t="shared" si="2"/>
        <v>0.60098455824397379</v>
      </c>
    </row>
    <row r="42" spans="1:9" x14ac:dyDescent="0.2">
      <c r="A42" s="2" t="s">
        <v>48</v>
      </c>
      <c r="B42" s="6">
        <v>0.24785448293881526</v>
      </c>
      <c r="C42" s="6">
        <v>0.35398092859999997</v>
      </c>
      <c r="D42" s="6">
        <v>0.74306114313450433</v>
      </c>
      <c r="E42" s="6">
        <v>0.91878512522823963</v>
      </c>
      <c r="F42" s="6">
        <v>0.16525725929699436</v>
      </c>
      <c r="G42" s="12">
        <f t="shared" si="0"/>
        <v>0.48578778783971072</v>
      </c>
      <c r="H42" s="6">
        <f t="shared" si="1"/>
        <v>0.39729686587427215</v>
      </c>
      <c r="I42" s="7">
        <f t="shared" si="2"/>
        <v>0.48578778783971077</v>
      </c>
    </row>
    <row r="43" spans="1:9" x14ac:dyDescent="0.2">
      <c r="A43" s="2" t="s">
        <v>49</v>
      </c>
      <c r="B43" s="6">
        <v>0.49293569368508555</v>
      </c>
      <c r="C43" s="6">
        <v>0.57164711339999996</v>
      </c>
      <c r="D43" s="6">
        <v>0.85808160428358438</v>
      </c>
      <c r="E43" s="6">
        <v>0.94170175989861282</v>
      </c>
      <c r="F43" s="6">
        <v>0.14151808456444218</v>
      </c>
      <c r="G43" s="12">
        <f t="shared" si="0"/>
        <v>0.60117685116634489</v>
      </c>
      <c r="H43" s="6">
        <f t="shared" si="1"/>
        <v>0.50307697332841661</v>
      </c>
      <c r="I43" s="7">
        <f t="shared" si="2"/>
        <v>0.60117685116634489</v>
      </c>
    </row>
    <row r="44" spans="1:9" x14ac:dyDescent="0.2">
      <c r="A44" s="2" t="s">
        <v>50</v>
      </c>
      <c r="B44" s="6">
        <v>0.15345869226593514</v>
      </c>
      <c r="C44" s="6">
        <v>0.95555089519999992</v>
      </c>
      <c r="D44" s="6">
        <v>0.30060985972588494</v>
      </c>
      <c r="E44" s="6">
        <v>0.92098280422168033</v>
      </c>
      <c r="F44" s="6">
        <v>0.44880285277636267</v>
      </c>
      <c r="G44" s="12">
        <f t="shared" si="0"/>
        <v>0.55588102083797264</v>
      </c>
      <c r="H44" s="6">
        <f t="shared" si="1"/>
        <v>0.44886023611435238</v>
      </c>
      <c r="I44" s="7">
        <f t="shared" si="2"/>
        <v>0.55588102083797264</v>
      </c>
    </row>
    <row r="45" spans="1:9" x14ac:dyDescent="0.2">
      <c r="A45" s="2" t="s">
        <v>51</v>
      </c>
      <c r="B45" s="6">
        <v>0.76153974767145993</v>
      </c>
      <c r="C45" s="6">
        <v>0.99587342039999993</v>
      </c>
      <c r="D45" s="6">
        <v>0.69570175832873549</v>
      </c>
      <c r="E45" s="6">
        <v>0.80308709582575577</v>
      </c>
      <c r="F45" s="6">
        <v>4.9923586347427405E-2</v>
      </c>
      <c r="G45" s="12">
        <f t="shared" si="0"/>
        <v>0.66122512171467573</v>
      </c>
      <c r="H45" s="6">
        <f t="shared" si="1"/>
        <v>0.46246369879631011</v>
      </c>
      <c r="I45" s="7">
        <f t="shared" si="2"/>
        <v>0.66122512171467573</v>
      </c>
    </row>
    <row r="46" spans="1:9" x14ac:dyDescent="0.2">
      <c r="A46" s="2" t="s">
        <v>52</v>
      </c>
      <c r="B46" s="6">
        <v>0.64774453460923798</v>
      </c>
      <c r="C46" s="6">
        <v>0.81899298239999996</v>
      </c>
      <c r="D46" s="6">
        <v>0.72340045577191281</v>
      </c>
      <c r="E46" s="6">
        <v>0.79756705709724784</v>
      </c>
      <c r="F46" s="6">
        <v>2.312786551197147E-2</v>
      </c>
      <c r="G46" s="12">
        <f t="shared" si="0"/>
        <v>0.60216657907807403</v>
      </c>
      <c r="H46" s="6">
        <f t="shared" si="1"/>
        <v>0.37152932224089708</v>
      </c>
      <c r="I46" s="7">
        <f t="shared" si="2"/>
        <v>0.60216657907807403</v>
      </c>
    </row>
    <row r="47" spans="1:9" x14ac:dyDescent="0.2">
      <c r="A47" s="2" t="s">
        <v>53</v>
      </c>
      <c r="B47" s="6">
        <v>0.95828806931507104</v>
      </c>
      <c r="C47" s="6">
        <v>0.9455610391</v>
      </c>
      <c r="D47" s="6">
        <v>0.92719170834419895</v>
      </c>
      <c r="E47" s="6">
        <v>0.77053777247993127</v>
      </c>
      <c r="F47" s="6">
        <v>8.028527763627101E-2</v>
      </c>
      <c r="G47" s="12">
        <f t="shared" si="0"/>
        <v>0.73637277337509432</v>
      </c>
      <c r="H47" s="6">
        <f t="shared" si="1"/>
        <v>0.55355019393349436</v>
      </c>
      <c r="I47" s="7">
        <f t="shared" si="2"/>
        <v>0.73637277337509444</v>
      </c>
    </row>
    <row r="48" spans="1:9" x14ac:dyDescent="0.2">
      <c r="A48" s="2" t="s">
        <v>54</v>
      </c>
      <c r="B48" s="6">
        <v>0.2372512084133872</v>
      </c>
      <c r="C48" s="6">
        <v>0.6718206538</v>
      </c>
      <c r="D48" s="6">
        <v>0.54800583702544237</v>
      </c>
      <c r="E48" s="6">
        <v>0.88829971556303955</v>
      </c>
      <c r="F48" s="6">
        <v>8.1304126337238922E-2</v>
      </c>
      <c r="G48" s="12">
        <f t="shared" si="0"/>
        <v>0.48533630822782153</v>
      </c>
      <c r="H48" s="6">
        <f t="shared" si="1"/>
        <v>0.36306452476883244</v>
      </c>
      <c r="I48" s="7">
        <f t="shared" si="2"/>
        <v>0.48533630822782159</v>
      </c>
    </row>
    <row r="49" spans="1:9" x14ac:dyDescent="0.2">
      <c r="A49" s="2" t="s">
        <v>55</v>
      </c>
      <c r="B49">
        <v>0</v>
      </c>
      <c r="C49">
        <v>0</v>
      </c>
      <c r="D49" s="6">
        <v>9.278154200003158E-2</v>
      </c>
      <c r="E49" s="6">
        <v>0.62919111157519569</v>
      </c>
      <c r="F49" s="6">
        <v>7.9266428935303099E-2</v>
      </c>
      <c r="G49" s="12">
        <f t="shared" si="0"/>
        <v>0.16024781650210609</v>
      </c>
      <c r="H49" s="6">
        <f t="shared" si="1"/>
        <v>2.1531123478709179E-2</v>
      </c>
      <c r="I49" s="7">
        <f t="shared" si="2"/>
        <v>0.16024781650210609</v>
      </c>
    </row>
    <row r="50" spans="1:9" x14ac:dyDescent="0.2">
      <c r="A50" s="2" t="s">
        <v>56</v>
      </c>
      <c r="B50" s="6">
        <v>0.20278848742636349</v>
      </c>
      <c r="C50" s="6">
        <v>0.90535363729999996</v>
      </c>
      <c r="D50" s="6">
        <v>0.36506641014875912</v>
      </c>
      <c r="E50" s="6">
        <v>0.9471216433205073</v>
      </c>
      <c r="F50" s="6">
        <v>0.26591951095262356</v>
      </c>
      <c r="G50" s="12">
        <f t="shared" si="0"/>
        <v>0.53724993782965069</v>
      </c>
      <c r="H50" s="6">
        <f t="shared" si="1"/>
        <v>0.44205659817237669</v>
      </c>
      <c r="I50" s="7">
        <f t="shared" si="2"/>
        <v>0.53724993782965058</v>
      </c>
    </row>
    <row r="51" spans="1:9" x14ac:dyDescent="0.2">
      <c r="A51" s="2" t="s">
        <v>57</v>
      </c>
      <c r="B51" s="6">
        <v>0.18825430429699314</v>
      </c>
      <c r="C51" s="6">
        <v>0.99998414469999997</v>
      </c>
      <c r="D51" s="6">
        <v>0.47317490993547584</v>
      </c>
      <c r="E51" s="6">
        <v>0.84480223490327855</v>
      </c>
      <c r="F51" s="6">
        <v>1</v>
      </c>
      <c r="G51" s="12">
        <f t="shared" si="0"/>
        <v>0.70124311876714951</v>
      </c>
      <c r="H51" s="6">
        <f t="shared" si="1"/>
        <v>0.59607781471941157</v>
      </c>
      <c r="I51" s="7">
        <f t="shared" si="2"/>
        <v>0.70124311876714951</v>
      </c>
    </row>
    <row r="52" spans="1:9" x14ac:dyDescent="0.2">
      <c r="A52" s="2" t="s">
        <v>58</v>
      </c>
      <c r="B52" s="6">
        <v>0.11871674092771801</v>
      </c>
      <c r="C52" s="6">
        <v>0.88011345649999995</v>
      </c>
      <c r="D52" s="6">
        <v>0.34424056400679298</v>
      </c>
      <c r="E52" s="6">
        <v>0.66215254543335023</v>
      </c>
      <c r="F52" s="6">
        <v>5.7157412124299541E-2</v>
      </c>
      <c r="G52" s="12">
        <f t="shared" si="0"/>
        <v>0.41247614379843223</v>
      </c>
      <c r="H52" s="6">
        <f t="shared" si="1"/>
        <v>0.26717059418862471</v>
      </c>
      <c r="I52" s="7">
        <f t="shared" si="2"/>
        <v>0.41247614379843223</v>
      </c>
    </row>
    <row r="53" spans="1:9" x14ac:dyDescent="0.2">
      <c r="A53" s="2" t="s">
        <v>59</v>
      </c>
      <c r="B53">
        <v>0</v>
      </c>
      <c r="C53">
        <v>0</v>
      </c>
      <c r="D53" s="6">
        <v>2.8877002340209814E-2</v>
      </c>
      <c r="E53" s="6">
        <v>0.35777019482230749</v>
      </c>
      <c r="F53" s="6">
        <v>4.4931227712684665E-2</v>
      </c>
      <c r="G53" s="12">
        <f t="shared" si="0"/>
        <v>8.6315684975040385E-2</v>
      </c>
      <c r="H53" s="6">
        <f t="shared" si="1"/>
        <v>1.3593801069662546E-2</v>
      </c>
      <c r="I53" s="7">
        <f t="shared" si="2"/>
        <v>8.6315684975040399E-2</v>
      </c>
    </row>
    <row r="54" spans="1:9" x14ac:dyDescent="0.2">
      <c r="A54" s="2" t="s">
        <v>60</v>
      </c>
      <c r="B54">
        <v>0</v>
      </c>
      <c r="C54">
        <v>0</v>
      </c>
      <c r="D54" s="6">
        <v>3.6995115900425135E-3</v>
      </c>
      <c r="E54" s="6">
        <v>0.4107381999463488</v>
      </c>
      <c r="F54" s="6">
        <v>4.116148751910341E-2</v>
      </c>
      <c r="G54" s="12">
        <f t="shared" si="0"/>
        <v>9.1119839811098946E-2</v>
      </c>
      <c r="H54" s="6">
        <f t="shared" si="1"/>
        <v>9.1041647838841742E-3</v>
      </c>
      <c r="I54" s="7">
        <f t="shared" si="2"/>
        <v>9.111983981109896E-2</v>
      </c>
    </row>
    <row r="55" spans="1:9" x14ac:dyDescent="0.2">
      <c r="A55" s="2" t="s">
        <v>61</v>
      </c>
      <c r="B55">
        <v>0</v>
      </c>
      <c r="C55">
        <v>0</v>
      </c>
      <c r="D55" s="6">
        <v>0</v>
      </c>
      <c r="E55" s="6">
        <v>0.78489106910049999</v>
      </c>
      <c r="F55" s="6">
        <v>9.3632195618950573E-2</v>
      </c>
      <c r="G55" s="12">
        <f t="shared" si="0"/>
        <v>0.17570465294389009</v>
      </c>
      <c r="H55" s="6">
        <f t="shared" si="1"/>
        <v>9.4025774402341222E-3</v>
      </c>
      <c r="I55" s="7">
        <f t="shared" si="2"/>
        <v>0.17570465294389012</v>
      </c>
    </row>
    <row r="56" spans="1:9" x14ac:dyDescent="0.2">
      <c r="A56" s="2" t="s">
        <v>62</v>
      </c>
      <c r="B56" s="6">
        <v>0.45454839357053589</v>
      </c>
      <c r="C56" s="6">
        <v>0.55634479050000007</v>
      </c>
      <c r="D56" s="6">
        <v>0.61861366806283635</v>
      </c>
      <c r="E56" s="6">
        <v>0.95161569083185138</v>
      </c>
      <c r="F56" s="6">
        <v>1.2531839021905246E-2</v>
      </c>
      <c r="G56" s="12">
        <f t="shared" si="0"/>
        <v>0.51873087639742577</v>
      </c>
      <c r="H56" s="6">
        <f t="shared" si="1"/>
        <v>0.28455355337158039</v>
      </c>
      <c r="I56" s="7">
        <f t="shared" si="2"/>
        <v>0.51873087639742588</v>
      </c>
    </row>
    <row r="57" spans="1:9" x14ac:dyDescent="0.2">
      <c r="A57" s="2" t="s">
        <v>63</v>
      </c>
      <c r="B57" s="6">
        <v>0.15131943234525116</v>
      </c>
      <c r="C57" s="6">
        <v>0.33796887539999998</v>
      </c>
      <c r="D57" s="6">
        <v>0.56439330913991348</v>
      </c>
      <c r="E57" s="6">
        <v>0.64466387670094394</v>
      </c>
      <c r="F57" s="6">
        <v>2.4961793173713703E-2</v>
      </c>
      <c r="G57" s="12">
        <f t="shared" si="0"/>
        <v>0.34466145735196446</v>
      </c>
      <c r="H57" s="6">
        <f t="shared" si="1"/>
        <v>0.21547281056280421</v>
      </c>
      <c r="I57" s="7">
        <f t="shared" si="2"/>
        <v>0.34466145735196446</v>
      </c>
    </row>
    <row r="58" spans="1:9" x14ac:dyDescent="0.2">
      <c r="A58" s="2" t="s">
        <v>64</v>
      </c>
      <c r="B58" s="6">
        <v>6.6906235886055487E-2</v>
      </c>
      <c r="C58" s="6">
        <v>6.1307115220000007E-2</v>
      </c>
      <c r="D58" s="6">
        <v>0.68291802950657587</v>
      </c>
      <c r="E58" s="6">
        <v>0.97211564902967695</v>
      </c>
      <c r="F58" s="6">
        <v>0.78869077941925614</v>
      </c>
      <c r="G58" s="12">
        <f t="shared" si="0"/>
        <v>0.51438756181231293</v>
      </c>
      <c r="H58" s="6">
        <f t="shared" si="1"/>
        <v>0.29268074442769243</v>
      </c>
      <c r="I58" s="7">
        <f t="shared" si="2"/>
        <v>0.51438756181231293</v>
      </c>
    </row>
    <row r="59" spans="1:9" x14ac:dyDescent="0.2">
      <c r="A59" s="2" t="s">
        <v>65</v>
      </c>
      <c r="B59" s="6">
        <v>6.0594138159456315E-2</v>
      </c>
      <c r="C59" s="6">
        <v>8.8856122780000005E-2</v>
      </c>
      <c r="D59" s="6">
        <v>0.73228106686310834</v>
      </c>
      <c r="E59" s="6">
        <v>0.87685546205691889</v>
      </c>
      <c r="F59" s="6">
        <v>0.20682628629648497</v>
      </c>
      <c r="G59" s="12">
        <f t="shared" si="0"/>
        <v>0.3930826152311937</v>
      </c>
      <c r="H59" s="6">
        <f t="shared" si="1"/>
        <v>0.23489074458921261</v>
      </c>
      <c r="I59" s="7">
        <f t="shared" si="2"/>
        <v>0.3930826152311937</v>
      </c>
    </row>
    <row r="60" spans="1:9" x14ac:dyDescent="0.2">
      <c r="A60" s="2" t="s">
        <v>66</v>
      </c>
      <c r="B60" s="6">
        <v>0.25555903679060743</v>
      </c>
      <c r="C60" s="6">
        <v>0.59159567479999997</v>
      </c>
      <c r="D60" s="6">
        <v>0.50572201907539571</v>
      </c>
      <c r="E60" s="6">
        <v>0.7659169253758733</v>
      </c>
      <c r="F60" s="6">
        <v>1.63015792154865E-2</v>
      </c>
      <c r="G60" s="12">
        <f t="shared" si="0"/>
        <v>0.42701904705147253</v>
      </c>
      <c r="H60" s="6">
        <f t="shared" si="1"/>
        <v>0.24886732990740615</v>
      </c>
      <c r="I60" s="7">
        <f t="shared" si="2"/>
        <v>0.42701904705147259</v>
      </c>
    </row>
    <row r="61" spans="1:9" x14ac:dyDescent="0.2">
      <c r="A61" s="2" t="s">
        <v>67</v>
      </c>
      <c r="B61" s="6">
        <v>3.9018180832835016E-2</v>
      </c>
      <c r="C61" s="6">
        <v>0.33758072239999998</v>
      </c>
      <c r="D61" s="6">
        <v>0.46039199612644865</v>
      </c>
      <c r="G61" s="12">
        <f t="shared" si="0"/>
        <v>0.27899696645309452</v>
      </c>
      <c r="H61" s="6">
        <f t="shared" si="1"/>
        <v>2.2727647451586928E-2</v>
      </c>
      <c r="I61" s="7" t="e">
        <f t="shared" si="2"/>
        <v>#DIV/0!</v>
      </c>
    </row>
    <row r="62" spans="1:9" x14ac:dyDescent="0.2">
      <c r="A62" s="2" t="s">
        <v>68</v>
      </c>
      <c r="B62" s="6">
        <v>6.0267321787934119E-2</v>
      </c>
      <c r="C62" s="6">
        <v>0.33011295220000003</v>
      </c>
      <c r="D62" s="6">
        <v>0.45819381097118056</v>
      </c>
      <c r="E62" s="6">
        <v>0.87362524324127222</v>
      </c>
      <c r="F62" s="6">
        <v>0.24177279673968419</v>
      </c>
      <c r="G62" s="12">
        <f t="shared" si="0"/>
        <v>0.39279442498801426</v>
      </c>
      <c r="H62" s="6">
        <f t="shared" si="1"/>
        <v>0.28635532056369933</v>
      </c>
      <c r="I62" s="7">
        <f t="shared" si="2"/>
        <v>0.39279442498801426</v>
      </c>
    </row>
    <row r="63" spans="1:9" x14ac:dyDescent="0.2">
      <c r="A63" s="2" t="s">
        <v>69</v>
      </c>
      <c r="B63" s="6">
        <v>7.6493292509154084E-2</v>
      </c>
      <c r="C63" s="6">
        <v>0.33658923479999997</v>
      </c>
      <c r="D63" s="6">
        <v>0.57060452232190217</v>
      </c>
      <c r="E63" s="6">
        <v>0.92429288925666886</v>
      </c>
      <c r="F63" s="6">
        <v>0.15924605196128375</v>
      </c>
      <c r="G63" s="12">
        <f t="shared" si="0"/>
        <v>0.41344519816980174</v>
      </c>
      <c r="H63" s="6">
        <f t="shared" si="1"/>
        <v>0.29308083106509436</v>
      </c>
      <c r="I63" s="7">
        <f t="shared" si="2"/>
        <v>0.41344519816980174</v>
      </c>
    </row>
    <row r="64" spans="1:9" x14ac:dyDescent="0.2">
      <c r="A64" s="2" t="s">
        <v>70</v>
      </c>
      <c r="B64" s="6">
        <v>0.13896634148183773</v>
      </c>
      <c r="C64" s="6">
        <v>0.1439727506</v>
      </c>
      <c r="D64" s="6">
        <v>0.56887664496782508</v>
      </c>
      <c r="E64" s="6">
        <v>0.83106108614580509</v>
      </c>
      <c r="F64" s="6">
        <v>7.1421293937850225E-2</v>
      </c>
      <c r="G64" s="12">
        <f t="shared" si="0"/>
        <v>0.35085962342666366</v>
      </c>
      <c r="H64" s="6">
        <f t="shared" si="1"/>
        <v>0.23223824361953135</v>
      </c>
      <c r="I64" s="7">
        <f t="shared" si="2"/>
        <v>0.35085962342666366</v>
      </c>
    </row>
    <row r="65" spans="1:9" x14ac:dyDescent="0.2">
      <c r="A65" s="2" t="s">
        <v>71</v>
      </c>
      <c r="B65" s="6">
        <v>7.3810353982587985E-3</v>
      </c>
      <c r="C65" s="6">
        <v>3.5174381300000002E-3</v>
      </c>
      <c r="D65" s="6">
        <v>0.74500052535663097</v>
      </c>
      <c r="E65" s="6">
        <v>0.95520843564299573</v>
      </c>
      <c r="F65" s="6">
        <v>4.0346408558329078E-2</v>
      </c>
      <c r="G65" s="12">
        <f t="shared" si="0"/>
        <v>0.3502907686172429</v>
      </c>
      <c r="H65" s="6">
        <f t="shared" si="1"/>
        <v>5.9495027977218548E-2</v>
      </c>
      <c r="I65" s="7">
        <f t="shared" si="2"/>
        <v>0.3502907686172429</v>
      </c>
    </row>
    <row r="66" spans="1:9" x14ac:dyDescent="0.2">
      <c r="A66" s="2" t="s">
        <v>72</v>
      </c>
      <c r="B66" s="6">
        <v>0.58630436318552204</v>
      </c>
      <c r="C66" s="6">
        <v>0.76418551779999999</v>
      </c>
      <c r="D66" s="6">
        <v>0.66686124883315623</v>
      </c>
      <c r="E66" s="6">
        <v>0.93628970363326014</v>
      </c>
      <c r="F66" s="6">
        <v>1.1207335710646969E-3</v>
      </c>
      <c r="G66" s="12">
        <f t="shared" si="0"/>
        <v>0.59095231340460053</v>
      </c>
      <c r="H66" s="6">
        <f t="shared" si="1"/>
        <v>0.19918379740223729</v>
      </c>
      <c r="I66" s="7">
        <f t="shared" si="2"/>
        <v>0.59095231340460064</v>
      </c>
    </row>
    <row r="67" spans="1:9" x14ac:dyDescent="0.2">
      <c r="A67" s="2" t="s">
        <v>73</v>
      </c>
      <c r="B67" s="6">
        <v>4.0096419696306687E-2</v>
      </c>
      <c r="C67" s="6">
        <v>3.5682988290000002E-2</v>
      </c>
      <c r="D67" s="6">
        <v>0.78945341738232311</v>
      </c>
      <c r="E67" s="6">
        <v>0.85219599000397761</v>
      </c>
      <c r="F67" s="6">
        <v>8.7213448802852783E-2</v>
      </c>
      <c r="G67" s="12">
        <f t="shared" si="0"/>
        <v>0.36092845283509206</v>
      </c>
      <c r="H67" s="6">
        <f t="shared" si="1"/>
        <v>0.15303939978715642</v>
      </c>
      <c r="I67" s="7">
        <f t="shared" si="2"/>
        <v>0.36092845283509201</v>
      </c>
    </row>
    <row r="68" spans="1:9" x14ac:dyDescent="0.2">
      <c r="A68" s="2" t="s">
        <v>74</v>
      </c>
      <c r="B68" s="6">
        <v>0.19286950287266516</v>
      </c>
      <c r="C68" s="6">
        <v>0.241381707</v>
      </c>
      <c r="D68" s="6">
        <v>0.71185481872536149</v>
      </c>
      <c r="E68" s="6">
        <v>0.831782298029203</v>
      </c>
      <c r="F68" s="6">
        <v>3.3418237391747319E-2</v>
      </c>
      <c r="G68" s="12">
        <f t="shared" ref="G68:G86" si="3">AVERAGE(B68,C68,D68,E68,F68)</f>
        <v>0.4022613128037954</v>
      </c>
      <c r="H68" s="6">
        <f t="shared" ref="H68:H86" si="4">POWER(PRODUCT(MAX(0.001,B68),MAX(0.001,C68),MAX(0.001,D68),MAX(0.001,E68),MAX(0.001,F68)),1/5)</f>
        <v>0.24709872901341082</v>
      </c>
      <c r="I68" s="7">
        <f t="shared" ref="I68:I86" si="5">0.6*AVERAGE(B68,C68,D68)+0.4*AVERAGE(E68,F68)</f>
        <v>0.4022613128037954</v>
      </c>
    </row>
    <row r="69" spans="1:9" x14ac:dyDescent="0.2">
      <c r="A69" s="2" t="s">
        <v>75</v>
      </c>
      <c r="B69" s="6">
        <v>0.12990048243266578</v>
      </c>
      <c r="C69" s="6">
        <v>0.32282326419999996</v>
      </c>
      <c r="D69" s="6">
        <v>0.56709208506039965</v>
      </c>
      <c r="E69" s="6">
        <v>0.79970514393896064</v>
      </c>
      <c r="F69" s="6">
        <v>4.9617931737137043E-2</v>
      </c>
      <c r="G69" s="12">
        <f t="shared" si="3"/>
        <v>0.37382778147383261</v>
      </c>
      <c r="H69" s="6">
        <f t="shared" si="4"/>
        <v>0.24829018051763174</v>
      </c>
      <c r="I69" s="7">
        <f t="shared" si="5"/>
        <v>0.37382778147383267</v>
      </c>
    </row>
    <row r="70" spans="1:9" x14ac:dyDescent="0.2">
      <c r="A70" s="2" t="s">
        <v>76</v>
      </c>
      <c r="B70" s="6">
        <v>8.7628545790393406E-2</v>
      </c>
      <c r="C70" s="6">
        <v>0.1649033074</v>
      </c>
      <c r="D70" s="6">
        <v>0.5830455402686765</v>
      </c>
      <c r="E70" s="6">
        <v>0.97186826067913235</v>
      </c>
      <c r="F70" s="6">
        <v>0.1467142129393785</v>
      </c>
      <c r="G70" s="12">
        <f t="shared" si="3"/>
        <v>0.39083197341551618</v>
      </c>
      <c r="H70" s="6">
        <f t="shared" si="4"/>
        <v>0.26057419644487961</v>
      </c>
      <c r="I70" s="7">
        <f t="shared" si="5"/>
        <v>0.39083197341551612</v>
      </c>
    </row>
    <row r="71" spans="1:9" x14ac:dyDescent="0.2">
      <c r="A71" s="2" t="s">
        <v>77</v>
      </c>
      <c r="B71" s="6">
        <v>0.12484008688085696</v>
      </c>
      <c r="C71" s="6">
        <v>0.28167669140000001</v>
      </c>
      <c r="D71" s="6">
        <v>0.61020013478848445</v>
      </c>
      <c r="E71" s="6">
        <v>0.7366714386609361</v>
      </c>
      <c r="F71" s="6">
        <v>2.4146714212939378E-2</v>
      </c>
      <c r="G71" s="12">
        <f t="shared" si="3"/>
        <v>0.35550701318864342</v>
      </c>
      <c r="H71" s="6">
        <f t="shared" si="4"/>
        <v>0.20717713800374468</v>
      </c>
      <c r="I71" s="7">
        <f t="shared" si="5"/>
        <v>0.35550701318864342</v>
      </c>
    </row>
    <row r="72" spans="1:9" x14ac:dyDescent="0.2">
      <c r="A72" s="2" t="s">
        <v>78</v>
      </c>
      <c r="B72" s="6">
        <v>0.4729639004960437</v>
      </c>
      <c r="C72" s="6">
        <v>0.54852023490000001</v>
      </c>
      <c r="D72" s="6">
        <v>0.79168141129102876</v>
      </c>
      <c r="E72" s="6">
        <v>0.8761103228301379</v>
      </c>
      <c r="F72" s="6">
        <v>6.3066734589913395E-2</v>
      </c>
      <c r="G72" s="12">
        <f t="shared" si="3"/>
        <v>0.55046852082142483</v>
      </c>
      <c r="H72" s="6">
        <f t="shared" si="4"/>
        <v>0.40830626857225144</v>
      </c>
      <c r="I72" s="7">
        <f t="shared" si="5"/>
        <v>0.55046852082142483</v>
      </c>
    </row>
    <row r="73" spans="1:9" x14ac:dyDescent="0.2">
      <c r="A73" s="2" t="s">
        <v>79</v>
      </c>
      <c r="B73" s="6">
        <v>5.1770324637173258E-2</v>
      </c>
      <c r="C73" s="6">
        <v>4.5792657350000002E-2</v>
      </c>
      <c r="D73" s="6">
        <v>0.62508525306325802</v>
      </c>
      <c r="E73" s="6">
        <v>0.75063085238577321</v>
      </c>
      <c r="F73" s="6">
        <v>0.15089149261334692</v>
      </c>
      <c r="G73" s="12">
        <f t="shared" si="3"/>
        <v>0.3248341160099103</v>
      </c>
      <c r="H73" s="6">
        <f t="shared" si="4"/>
        <v>0.17578484511661691</v>
      </c>
      <c r="I73" s="7">
        <f t="shared" si="5"/>
        <v>0.3248341160099103</v>
      </c>
    </row>
    <row r="74" spans="1:9" x14ac:dyDescent="0.2">
      <c r="A74" s="2" t="s">
        <v>80</v>
      </c>
      <c r="B74" s="6">
        <v>0.18130131134527777</v>
      </c>
      <c r="C74" s="6">
        <v>0.21208758240000003</v>
      </c>
      <c r="D74" s="6">
        <v>0.78218065154297178</v>
      </c>
      <c r="E74" s="6">
        <v>0.76163160706227617</v>
      </c>
      <c r="F74" s="6">
        <v>0.11563932755985736</v>
      </c>
      <c r="G74" s="12">
        <f t="shared" si="3"/>
        <v>0.41056809598207666</v>
      </c>
      <c r="H74" s="6">
        <f t="shared" si="4"/>
        <v>0.30522124139721912</v>
      </c>
      <c r="I74" s="7">
        <f t="shared" si="5"/>
        <v>0.41056809598207661</v>
      </c>
    </row>
    <row r="75" spans="1:9" x14ac:dyDescent="0.2">
      <c r="A75" s="2" t="s">
        <v>81</v>
      </c>
      <c r="B75" s="6">
        <v>0.34154914826007077</v>
      </c>
      <c r="C75" s="6">
        <v>0.55601304419999997</v>
      </c>
      <c r="D75" s="6">
        <v>0.66489800096719809</v>
      </c>
      <c r="E75" s="6">
        <v>0.90272897165363375</v>
      </c>
      <c r="F75" s="6">
        <v>0.16556291390728475</v>
      </c>
      <c r="G75" s="12">
        <f t="shared" si="3"/>
        <v>0.52615041579763744</v>
      </c>
      <c r="H75" s="6">
        <f t="shared" si="4"/>
        <v>0.45202528768339184</v>
      </c>
      <c r="I75" s="7">
        <f t="shared" si="5"/>
        <v>0.52615041579763744</v>
      </c>
    </row>
    <row r="76" spans="1:9" x14ac:dyDescent="0.2">
      <c r="A76" s="2" t="s">
        <v>82</v>
      </c>
      <c r="B76" s="6">
        <v>1.9946756120419448E-2</v>
      </c>
      <c r="C76" s="6">
        <v>8.4968498360000005E-2</v>
      </c>
      <c r="D76" s="6">
        <v>0.4897804066351007</v>
      </c>
      <c r="E76" s="6">
        <v>0.92542253972488242</v>
      </c>
      <c r="F76" s="6">
        <v>4.9923586347427405E-2</v>
      </c>
      <c r="G76" s="12">
        <f t="shared" si="3"/>
        <v>0.314008357437566</v>
      </c>
      <c r="H76" s="6">
        <f t="shared" si="4"/>
        <v>0.13084450709102791</v>
      </c>
      <c r="I76" s="7">
        <f t="shared" si="5"/>
        <v>0.314008357437566</v>
      </c>
    </row>
    <row r="77" spans="1:9" x14ac:dyDescent="0.2">
      <c r="A77" s="2" t="s">
        <v>83</v>
      </c>
      <c r="B77">
        <v>0</v>
      </c>
      <c r="C77">
        <v>0</v>
      </c>
      <c r="D77" s="6">
        <v>0.39603415281209842</v>
      </c>
      <c r="E77" s="6">
        <v>0.90137814956413786</v>
      </c>
      <c r="G77" s="12">
        <f t="shared" si="3"/>
        <v>0.32435307559405907</v>
      </c>
      <c r="H77" s="6">
        <f t="shared" si="4"/>
        <v>1.2898165143122826E-2</v>
      </c>
      <c r="I77" s="7">
        <f t="shared" si="5"/>
        <v>0.43975809038807484</v>
      </c>
    </row>
    <row r="78" spans="1:9" x14ac:dyDescent="0.2">
      <c r="A78" s="2" t="s">
        <v>84</v>
      </c>
      <c r="B78" s="6">
        <v>0.12030396595365345</v>
      </c>
      <c r="C78" s="6">
        <v>0.21404515939999999</v>
      </c>
      <c r="D78" s="6">
        <v>0.62928065148492529</v>
      </c>
      <c r="E78" s="6">
        <v>0.94206788435215383</v>
      </c>
      <c r="G78" s="12">
        <f t="shared" si="3"/>
        <v>0.47642441529768315</v>
      </c>
      <c r="H78" s="6">
        <f t="shared" si="4"/>
        <v>0.10882843566930217</v>
      </c>
      <c r="I78" s="7">
        <f t="shared" si="5"/>
        <v>0.56955310910857726</v>
      </c>
    </row>
    <row r="79" spans="1:9" x14ac:dyDescent="0.2">
      <c r="A79" s="2" t="s">
        <v>85</v>
      </c>
      <c r="B79" s="6">
        <v>0.17257449376011361</v>
      </c>
      <c r="C79" s="6">
        <v>0.2017238945</v>
      </c>
      <c r="D79" s="6">
        <v>0.73132830205771326</v>
      </c>
      <c r="E79" s="6">
        <v>1</v>
      </c>
      <c r="G79" s="12">
        <f t="shared" si="3"/>
        <v>0.52640667257945672</v>
      </c>
      <c r="H79" s="6">
        <f t="shared" si="4"/>
        <v>0.12055056955235653</v>
      </c>
      <c r="I79" s="7">
        <f t="shared" si="5"/>
        <v>0.6211253380635654</v>
      </c>
    </row>
    <row r="80" spans="1:9" x14ac:dyDescent="0.2">
      <c r="A80" s="2" t="s">
        <v>86</v>
      </c>
      <c r="B80" s="6">
        <v>0.80564705503244893</v>
      </c>
      <c r="C80" s="6">
        <v>0.72533018620000012</v>
      </c>
      <c r="D80" s="6">
        <v>0.89172329068773648</v>
      </c>
      <c r="E80" s="6">
        <v>0.99992291569785641</v>
      </c>
      <c r="G80" s="12">
        <f t="shared" si="3"/>
        <v>0.85565586190451048</v>
      </c>
      <c r="H80" s="6">
        <f t="shared" si="4"/>
        <v>0.22048316853389993</v>
      </c>
      <c r="I80" s="7">
        <f t="shared" si="5"/>
        <v>0.88450927266317969</v>
      </c>
    </row>
    <row r="81" spans="1:9" x14ac:dyDescent="0.2">
      <c r="A81" s="2" t="s">
        <v>87</v>
      </c>
      <c r="B81" s="6">
        <v>0.33982038154567495</v>
      </c>
      <c r="C81" s="6">
        <v>0.39459043880000005</v>
      </c>
      <c r="D81" s="6">
        <v>0.94588007749860881</v>
      </c>
      <c r="E81" s="6">
        <v>0.75409277509985528</v>
      </c>
      <c r="F81" s="6">
        <v>1.3550687722873151E-2</v>
      </c>
      <c r="G81" s="12">
        <f t="shared" si="3"/>
        <v>0.48958687213340246</v>
      </c>
      <c r="H81" s="6">
        <f t="shared" si="4"/>
        <v>0.26455966697952543</v>
      </c>
      <c r="I81" s="7">
        <f t="shared" si="5"/>
        <v>0.48958687213340241</v>
      </c>
    </row>
    <row r="82" spans="1:9" x14ac:dyDescent="0.2">
      <c r="A82" s="2" t="s">
        <v>88</v>
      </c>
      <c r="B82" s="6">
        <v>0.56989435862089977</v>
      </c>
      <c r="C82" s="6">
        <v>0.78980023020000001</v>
      </c>
      <c r="D82" s="6">
        <v>0.60343736360160449</v>
      </c>
      <c r="E82" s="6">
        <v>0.8944954517250856</v>
      </c>
      <c r="F82" s="6">
        <v>0.22526744778400407</v>
      </c>
      <c r="G82" s="12">
        <f t="shared" si="3"/>
        <v>0.61657897038631881</v>
      </c>
      <c r="H82" s="6">
        <f t="shared" si="4"/>
        <v>0.55929904438306954</v>
      </c>
      <c r="I82" s="7">
        <f t="shared" si="5"/>
        <v>0.6165789703863187</v>
      </c>
    </row>
    <row r="83" spans="1:9" x14ac:dyDescent="0.2">
      <c r="A83" s="2" t="s">
        <v>89</v>
      </c>
      <c r="B83" s="6">
        <v>0.1665944294356104</v>
      </c>
      <c r="C83" s="6">
        <v>0.52562207620000001</v>
      </c>
      <c r="D83" s="6">
        <v>0.47195843088477601</v>
      </c>
      <c r="E83" s="6">
        <v>0.87683823070599987</v>
      </c>
      <c r="F83" s="6">
        <v>0.12226184411614874</v>
      </c>
      <c r="G83" s="12">
        <f t="shared" si="3"/>
        <v>0.43265500226850701</v>
      </c>
      <c r="H83" s="6">
        <f t="shared" si="4"/>
        <v>0.33829038017354429</v>
      </c>
      <c r="I83" s="7">
        <f t="shared" si="5"/>
        <v>0.43265500226850701</v>
      </c>
    </row>
    <row r="84" spans="1:9" x14ac:dyDescent="0.2">
      <c r="A84" s="2" t="s">
        <v>90</v>
      </c>
      <c r="B84" s="6">
        <v>0.66563732504673756</v>
      </c>
      <c r="C84" s="6">
        <v>0.66348183029999996</v>
      </c>
      <c r="D84" s="6">
        <v>1</v>
      </c>
      <c r="E84" s="6">
        <v>0.9377932634950209</v>
      </c>
      <c r="F84" s="6">
        <v>2.4452368823229746E-3</v>
      </c>
      <c r="G84" s="12">
        <f t="shared" si="3"/>
        <v>0.65387153114481633</v>
      </c>
      <c r="H84" s="6">
        <f t="shared" si="4"/>
        <v>0.25182506193786663</v>
      </c>
      <c r="I84" s="7">
        <f t="shared" si="5"/>
        <v>0.65387153114481633</v>
      </c>
    </row>
    <row r="85" spans="1:9" x14ac:dyDescent="0.2">
      <c r="A85" s="2" t="s">
        <v>91</v>
      </c>
      <c r="B85" s="6">
        <v>8.1866868062099057E-2</v>
      </c>
      <c r="C85" s="6">
        <v>0.13147411509999998</v>
      </c>
      <c r="D85" s="6">
        <v>0.67044981897313283</v>
      </c>
      <c r="E85" s="6">
        <v>0.89075865714759028</v>
      </c>
      <c r="F85" s="6">
        <v>6.9791136016301575E-2</v>
      </c>
      <c r="G85" s="12">
        <f t="shared" si="3"/>
        <v>0.36886811905982475</v>
      </c>
      <c r="H85" s="6">
        <f t="shared" si="4"/>
        <v>0.21398089810244503</v>
      </c>
      <c r="I85" s="7">
        <f t="shared" si="5"/>
        <v>0.36886811905982475</v>
      </c>
    </row>
    <row r="86" spans="1:9" ht="16" thickBot="1" x14ac:dyDescent="0.25">
      <c r="A86" s="3" t="s">
        <v>92</v>
      </c>
      <c r="B86" s="8">
        <v>0.15132886968227283</v>
      </c>
      <c r="C86" s="8">
        <v>0.3533741306</v>
      </c>
      <c r="D86" s="8">
        <v>0.56728796818260829</v>
      </c>
      <c r="E86" s="8">
        <v>0.68688307048653452</v>
      </c>
      <c r="F86" s="8">
        <v>1.5792154865002548E-2</v>
      </c>
      <c r="G86" s="13">
        <f t="shared" si="3"/>
        <v>0.35493323876328364</v>
      </c>
      <c r="H86" s="8">
        <f t="shared" si="4"/>
        <v>0.20112074269791702</v>
      </c>
      <c r="I86" s="9">
        <f t="shared" si="5"/>
        <v>0.35493323876328364</v>
      </c>
    </row>
  </sheetData>
  <mergeCells count="3">
    <mergeCell ref="B1:D1"/>
    <mergeCell ref="E1:F1"/>
    <mergeCell ref="G1:I1"/>
  </mergeCells>
  <conditionalFormatting sqref="G3:G8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8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8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Teresita Yanancy Navarro Cerdas</dc:creator>
  <cp:lastModifiedBy>Agustín Gómez Meléndez</cp:lastModifiedBy>
  <dcterms:created xsi:type="dcterms:W3CDTF">2025-10-31T11:10:18Z</dcterms:created>
  <dcterms:modified xsi:type="dcterms:W3CDTF">2025-10-31T22:33:45Z</dcterms:modified>
</cp:coreProperties>
</file>
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y_\Documents\II-2025\Practica profesional II\EPI-Ambiente\Mis documentos\Indices listos IDAC\"/>
    </mc:Choice>
  </mc:AlternateContent>
  <xr:revisionPtr revIDLastSave="0" documentId="13_ncr:1_{44A445B2-7F48-48E8-998C-D420F4B42162}" xr6:coauthVersionLast="47" xr6:coauthVersionMax="47" xr10:uidLastSave="{00000000-0000-0000-0000-000000000000}"/>
  <bookViews>
    <workbookView xWindow="-108" yWindow="-108" windowWidth="23256" windowHeight="12456" xr2:uid="{3EFFC4A3-AA99-4754-AF02-E6D2A9A4239D}"/>
  </bookViews>
  <sheets>
    <sheet name="IDAC" sheetId="3" r:id="rId1"/>
    <sheet name="Cal" sheetId="1" r:id="rId2"/>
    <sheet name="Nor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3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2" i="2"/>
  <c r="H8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2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3" i="1"/>
</calcChain>
</file>

<file path=xl/sharedStrings.xml><?xml version="1.0" encoding="utf-8"?>
<sst xmlns="http://schemas.openxmlformats.org/spreadsheetml/2006/main" count="529" uniqueCount="109">
  <si>
    <t>Desamparados</t>
  </si>
  <si>
    <t>Puriscal</t>
  </si>
  <si>
    <t>Mora</t>
  </si>
  <si>
    <t>Goicoechea</t>
  </si>
  <si>
    <t>Santa Ana</t>
  </si>
  <si>
    <t>Alajuelita</t>
  </si>
  <si>
    <t>Acosta</t>
  </si>
  <si>
    <t>Moravia</t>
  </si>
  <si>
    <t>Montes de Oca</t>
  </si>
  <si>
    <t>Turrubares</t>
  </si>
  <si>
    <t>Dota</t>
  </si>
  <si>
    <t>Curridabat</t>
  </si>
  <si>
    <t>Alajuela</t>
  </si>
  <si>
    <t>Grecia</t>
  </si>
  <si>
    <t>San Mateo</t>
  </si>
  <si>
    <t>Atenas</t>
  </si>
  <si>
    <t>Naranjo</t>
  </si>
  <si>
    <t>Palmares</t>
  </si>
  <si>
    <t>Orotina</t>
  </si>
  <si>
    <t>San Carlos</t>
  </si>
  <si>
    <t>Zarcero</t>
  </si>
  <si>
    <t>Upala</t>
  </si>
  <si>
    <t>Los Chiles</t>
  </si>
  <si>
    <t>Guatuso</t>
  </si>
  <si>
    <t>Cartago</t>
  </si>
  <si>
    <t>Turrialba</t>
  </si>
  <si>
    <t>Alvarado</t>
  </si>
  <si>
    <t>Oreamuno</t>
  </si>
  <si>
    <t>El Guarco</t>
  </si>
  <si>
    <t>Heredia</t>
  </si>
  <si>
    <t>Barva</t>
  </si>
  <si>
    <t>Santo Domingo</t>
  </si>
  <si>
    <t>San Rafael</t>
  </si>
  <si>
    <t>San Isidro</t>
  </si>
  <si>
    <t>Flores</t>
  </si>
  <si>
    <t>San Pablo</t>
  </si>
  <si>
    <t>Liberia</t>
  </si>
  <si>
    <t>Nicoya</t>
  </si>
  <si>
    <t>Santa Cruz</t>
  </si>
  <si>
    <t>Bagaces</t>
  </si>
  <si>
    <t>Carrillo</t>
  </si>
  <si>
    <t>Cañas</t>
  </si>
  <si>
    <t>Abangares</t>
  </si>
  <si>
    <t>Nandayure</t>
  </si>
  <si>
    <t>La Cruz</t>
  </si>
  <si>
    <t>Hojancha</t>
  </si>
  <si>
    <t>Puntarenas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</si>
  <si>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</si>
  <si>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</si>
  <si>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</si>
  <si>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</si>
  <si>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</si>
  <si>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</si>
  <si>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</si>
  <si>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</si>
  <si>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</si>
  <si>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</si>
  <si>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Monteverde</t>
  </si>
  <si>
    <t>Siquirres</t>
  </si>
  <si>
    <t>Talamanca</t>
  </si>
  <si>
    <t>Matina</t>
  </si>
  <si>
    <t>Vazquez de Coronado</t>
  </si>
  <si>
    <t>Tibas</t>
  </si>
  <si>
    <t>Poas</t>
  </si>
  <si>
    <t>Santa Barbara</t>
  </si>
  <si>
    <t>Tilaran</t>
  </si>
  <si>
    <t>Guacimo</t>
  </si>
  <si>
    <t>San Jose</t>
  </si>
  <si>
    <t>Jimenez</t>
  </si>
  <si>
    <t>Belen</t>
  </si>
  <si>
    <t>Puerto Jimenez</t>
  </si>
  <si>
    <t>Aserri</t>
  </si>
  <si>
    <t>Sarchi</t>
  </si>
  <si>
    <t>Rio Cuarto</t>
  </si>
  <si>
    <t>Paraiso</t>
  </si>
  <si>
    <t>Sarapiqui</t>
  </si>
  <si>
    <t>Pococi</t>
  </si>
  <si>
    <t>Canton</t>
  </si>
  <si>
    <t>Perez Zeledon</t>
  </si>
  <si>
    <t>Leon Cortes Castro</t>
  </si>
  <si>
    <t>San Ramon</t>
  </si>
  <si>
    <t>La Union</t>
  </si>
  <si>
    <t>Limon</t>
  </si>
  <si>
    <t>Escazu</t>
  </si>
  <si>
    <t>Tarrazu</t>
  </si>
  <si>
    <t xml:space="preserve">Ecosystem Vitality ECO </t>
  </si>
  <si>
    <t>Terrestial Protected Areas</t>
  </si>
  <si>
    <t>%_Protegida</t>
  </si>
  <si>
    <t>Terrestrial KBA Protection</t>
  </si>
  <si>
    <t>CANTON</t>
  </si>
  <si>
    <t>pct_kba_protegida</t>
  </si>
  <si>
    <t>Forest Area (FA)</t>
  </si>
  <si>
    <t>FA_%</t>
  </si>
  <si>
    <t xml:space="preserve">Environmental Health HLT </t>
  </si>
  <si>
    <t>WPC</t>
  </si>
  <si>
    <t>WRR</t>
  </si>
  <si>
    <t>IDAC</t>
  </si>
  <si>
    <t>TPA</t>
  </si>
  <si>
    <t>TKP</t>
  </si>
  <si>
    <t>TPA%</t>
  </si>
  <si>
    <t>TKP%</t>
  </si>
  <si>
    <t>FA%</t>
  </si>
  <si>
    <t>WRR%</t>
  </si>
  <si>
    <t>TPA_score</t>
  </si>
  <si>
    <t>TKP_score</t>
  </si>
  <si>
    <t>FA_scpre</t>
  </si>
  <si>
    <t>WRR_score</t>
  </si>
  <si>
    <t>WPC_score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</si>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</sst>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CBAE-FEF7-4F74-B6D4-3CB3D07C4723}">
  <dimension ref="A1:G86"/>
  <sheetViews>
    <sheetView tabSelected="1" workbookViewId="0">
      <selection activeCell="J8" sqref="J8"/>
    </sheetView>
  </sheetViews>
  <sheetFormatPr defaultRowHeight="14.4" x14ac:dyDescent="0.3"/>
  <cols>
    <col min="1" max="1" width="18.44140625" bestFit="1" customWidth="1"/>
    <col min="2" max="3" width="7.5546875" customWidth="1"/>
    <col min="4" max="4" width="7.6640625" customWidth="1"/>
    <col min="5" max="5" width="11.33203125" customWidth="1"/>
    <col min="6" max="6" width="11" customWidth="1"/>
  </cols>
  <sheetData>
    <row r="1" spans="1:7" x14ac:dyDescent="0.3">
      <c r="A1" s="9"/>
      <c r="B1" s="7" t="s">
        <v>85</v>
      </c>
      <c r="C1" s="8"/>
      <c r="D1" s="8"/>
      <c r="E1" s="4" t="s">
        <v>93</v>
      </c>
      <c r="F1" s="4"/>
      <c r="G1" s="22" t="s">
        <v>96</v>
      </c>
    </row>
    <row r="2" spans="1:7" x14ac:dyDescent="0.3">
      <c r="A2" s="10" t="s">
        <v>77</v>
      </c>
      <c r="B2" s="11" t="s">
        <v>97</v>
      </c>
      <c r="C2" s="12" t="s">
        <v>98</v>
      </c>
      <c r="D2" s="12" t="s">
        <v>108</v>
      </c>
      <c r="E2" s="12" t="s">
        <v>94</v>
      </c>
      <c r="F2" s="12" t="s">
        <v>95</v>
      </c>
      <c r="G2" s="23"/>
    </row>
    <row r="3" spans="1:7" x14ac:dyDescent="0.3">
      <c r="A3" s="5" t="s">
        <v>67</v>
      </c>
      <c r="B3" s="13">
        <v>0</v>
      </c>
      <c r="C3" s="14">
        <v>0</v>
      </c>
      <c r="D3" s="14">
        <v>2.2592694283497283</v>
      </c>
      <c r="E3" s="14">
        <v>5.6798751095864235</v>
      </c>
      <c r="F3" s="14">
        <v>1.5690269994905754</v>
      </c>
      <c r="G3" s="19">
        <f>0.6*AVERAGE(B3,C3,D3)+0.4*AVERAGE(E3,F3)</f>
        <v>1.9016343074853457</v>
      </c>
    </row>
    <row r="4" spans="1:7" x14ac:dyDescent="0.3">
      <c r="A4" s="5" t="s">
        <v>83</v>
      </c>
      <c r="B4" s="15">
        <v>21.85946492778524</v>
      </c>
      <c r="C4" s="16">
        <v>89.786635520000004</v>
      </c>
      <c r="D4" s="16">
        <v>19.868222214409055</v>
      </c>
      <c r="E4" s="16">
        <v>60.218289791808729</v>
      </c>
      <c r="F4" s="16">
        <v>9.5771777890983198</v>
      </c>
      <c r="G4" s="20">
        <f t="shared" ref="G4:G67" si="0">0.6*AVERAGE(B4,C4,D4)+0.4*AVERAGE(E4,F4)</f>
        <v>40.261958048620272</v>
      </c>
    </row>
    <row r="5" spans="1:7" x14ac:dyDescent="0.3">
      <c r="A5" s="5" t="s">
        <v>0</v>
      </c>
      <c r="B5" s="15">
        <v>4.1091268535116718</v>
      </c>
      <c r="C5" s="16">
        <v>7.297535624</v>
      </c>
      <c r="D5" s="16">
        <v>31.669273748993216</v>
      </c>
      <c r="E5" s="16">
        <v>77.309014063269927</v>
      </c>
      <c r="F5" s="16">
        <v>7.4783494651044311</v>
      </c>
      <c r="G5" s="20">
        <f t="shared" si="0"/>
        <v>25.572659950975847</v>
      </c>
    </row>
    <row r="6" spans="1:7" x14ac:dyDescent="0.3">
      <c r="A6" s="5" t="s">
        <v>1</v>
      </c>
      <c r="B6" s="15">
        <v>5.2321876328714181</v>
      </c>
      <c r="C6" s="16">
        <v>17.573206599999999</v>
      </c>
      <c r="D6" s="16">
        <v>61.840825959841162</v>
      </c>
      <c r="E6" s="16">
        <v>93.929754152888407</v>
      </c>
      <c r="F6" s="16">
        <v>21.079979623025981</v>
      </c>
      <c r="G6" s="20">
        <f t="shared" si="0"/>
        <v>39.931190793725392</v>
      </c>
    </row>
    <row r="7" spans="1:7" x14ac:dyDescent="0.3">
      <c r="A7" s="5" t="s">
        <v>84</v>
      </c>
      <c r="B7" s="15">
        <v>11.490720793083829</v>
      </c>
      <c r="C7" s="16">
        <v>12.69079136</v>
      </c>
      <c r="D7" s="16">
        <v>60.864877451847946</v>
      </c>
      <c r="E7" s="16">
        <v>89.316482811346603</v>
      </c>
      <c r="F7" s="16">
        <v>13.418237391747326</v>
      </c>
      <c r="G7" s="20">
        <f t="shared" si="0"/>
        <v>37.556221961605139</v>
      </c>
    </row>
    <row r="8" spans="1:7" x14ac:dyDescent="0.3">
      <c r="A8" s="5" t="s">
        <v>71</v>
      </c>
      <c r="B8" s="15">
        <v>13.741351154834982</v>
      </c>
      <c r="C8" s="16">
        <v>28.8825489</v>
      </c>
      <c r="D8" s="16">
        <v>43.454285203229091</v>
      </c>
      <c r="E8" s="16">
        <v>84.721326382834079</v>
      </c>
      <c r="F8" s="16">
        <v>9.2817116658176246</v>
      </c>
      <c r="G8" s="20">
        <f t="shared" si="0"/>
        <v>36.016244661343158</v>
      </c>
    </row>
    <row r="9" spans="1:7" x14ac:dyDescent="0.3">
      <c r="A9" s="5" t="s">
        <v>2</v>
      </c>
      <c r="B9" s="15">
        <v>29.935902791905665</v>
      </c>
      <c r="C9" s="16">
        <v>60.84390397</v>
      </c>
      <c r="D9" s="16">
        <v>63.272408418349926</v>
      </c>
      <c r="E9" s="16">
        <v>82.671865232249459</v>
      </c>
      <c r="F9" s="16">
        <v>41.966377992868054</v>
      </c>
      <c r="G9" s="20">
        <f t="shared" si="0"/>
        <v>55.738091681074621</v>
      </c>
    </row>
    <row r="10" spans="1:7" x14ac:dyDescent="0.3">
      <c r="A10" s="5" t="s">
        <v>3</v>
      </c>
      <c r="B10" s="15">
        <v>10.447950524613702</v>
      </c>
      <c r="C10" s="16">
        <v>62.328888969999994</v>
      </c>
      <c r="D10" s="16">
        <v>23.824741924488986</v>
      </c>
      <c r="E10" s="16">
        <v>80.711825053710413</v>
      </c>
      <c r="F10" s="16">
        <v>1.4467651553744267</v>
      </c>
      <c r="G10" s="20">
        <f t="shared" si="0"/>
        <v>35.752034325637503</v>
      </c>
    </row>
    <row r="11" spans="1:7" x14ac:dyDescent="0.3">
      <c r="A11" s="5" t="s">
        <v>4</v>
      </c>
      <c r="B11" s="15">
        <v>40.747645884377988</v>
      </c>
      <c r="C11" s="16">
        <v>94.955919469999998</v>
      </c>
      <c r="D11" s="16">
        <v>34.018404149453616</v>
      </c>
      <c r="E11" s="16">
        <v>73.737741523671758</v>
      </c>
      <c r="F11" s="16">
        <v>13.897096281202243</v>
      </c>
      <c r="G11" s="20">
        <f t="shared" si="0"/>
        <v>51.471361461741111</v>
      </c>
    </row>
    <row r="12" spans="1:7" x14ac:dyDescent="0.3">
      <c r="A12" s="5" t="s">
        <v>5</v>
      </c>
      <c r="B12" s="15">
        <v>29.881020156127079</v>
      </c>
      <c r="C12" s="16">
        <v>100</v>
      </c>
      <c r="D12" s="16">
        <v>21.098209485135936</v>
      </c>
      <c r="E12" s="16">
        <v>90.797615864055572</v>
      </c>
      <c r="F12" s="16">
        <v>0</v>
      </c>
      <c r="G12" s="20">
        <f t="shared" si="0"/>
        <v>48.355369101063715</v>
      </c>
    </row>
    <row r="13" spans="1:7" x14ac:dyDescent="0.3">
      <c r="A13" s="5" t="s">
        <v>61</v>
      </c>
      <c r="B13" s="15">
        <v>85.09075420842828</v>
      </c>
      <c r="C13" s="16">
        <v>96.896045979999997</v>
      </c>
      <c r="D13" s="16">
        <v>86.022237923367811</v>
      </c>
      <c r="E13" s="16">
        <v>89.819008608927987</v>
      </c>
      <c r="F13" s="16">
        <v>1.6709118695873659</v>
      </c>
      <c r="G13" s="20">
        <f t="shared" si="0"/>
        <v>71.899791718062289</v>
      </c>
    </row>
    <row r="14" spans="1:7" x14ac:dyDescent="0.3">
      <c r="A14" s="5" t="s">
        <v>6</v>
      </c>
      <c r="B14" s="15">
        <v>8.9938275902352789</v>
      </c>
      <c r="C14" s="16">
        <v>36.13656615</v>
      </c>
      <c r="D14" s="16">
        <v>60.32041295513374</v>
      </c>
      <c r="E14" s="16">
        <v>89.400432776137578</v>
      </c>
      <c r="F14" s="16">
        <v>36.128374936321954</v>
      </c>
      <c r="G14" s="20">
        <f t="shared" si="0"/>
        <v>46.195922881565707</v>
      </c>
    </row>
    <row r="15" spans="1:7" x14ac:dyDescent="0.3">
      <c r="A15" s="5" t="s">
        <v>62</v>
      </c>
      <c r="B15" s="15">
        <v>0</v>
      </c>
      <c r="C15" s="16">
        <v>0</v>
      </c>
      <c r="D15" s="16">
        <v>5.7089384273008497</v>
      </c>
      <c r="E15" s="16">
        <v>34.190320823261537</v>
      </c>
      <c r="F15" s="16">
        <v>0.77432501273560872</v>
      </c>
      <c r="G15" s="20">
        <f t="shared" si="0"/>
        <v>8.134716852659599</v>
      </c>
    </row>
    <row r="16" spans="1:7" x14ac:dyDescent="0.3">
      <c r="A16" s="5" t="s">
        <v>7</v>
      </c>
      <c r="B16" s="15">
        <v>15.751998733129099</v>
      </c>
      <c r="C16" s="16">
        <v>71.944796519999997</v>
      </c>
      <c r="D16" s="16">
        <v>47.033909121211892</v>
      </c>
      <c r="E16" s="16">
        <v>67.592341663129247</v>
      </c>
      <c r="F16" s="16">
        <v>4.1569026999490575</v>
      </c>
      <c r="G16" s="20">
        <f t="shared" si="0"/>
        <v>41.295989747483851</v>
      </c>
    </row>
    <row r="17" spans="1:7" x14ac:dyDescent="0.3">
      <c r="A17" s="5" t="s">
        <v>8</v>
      </c>
      <c r="B17" s="15">
        <v>0.95530776665977124</v>
      </c>
      <c r="C17" s="16">
        <v>0</v>
      </c>
      <c r="D17" s="16">
        <v>19.865066408491817</v>
      </c>
      <c r="E17" s="16">
        <v>79.273071296594537</v>
      </c>
      <c r="F17" s="16">
        <v>8.0285277636271015</v>
      </c>
      <c r="G17" s="20">
        <f t="shared" si="0"/>
        <v>21.624394647074645</v>
      </c>
    </row>
    <row r="18" spans="1:7" x14ac:dyDescent="0.3">
      <c r="A18" s="5" t="s">
        <v>9</v>
      </c>
      <c r="B18" s="15">
        <v>18.117765609499479</v>
      </c>
      <c r="C18" s="16">
        <v>29.846698480000001</v>
      </c>
      <c r="D18" s="16">
        <v>75.361133923481148</v>
      </c>
      <c r="E18" s="16">
        <v>96.873409416372567</v>
      </c>
      <c r="F18" s="16">
        <v>1.7422312786551195</v>
      </c>
      <c r="G18" s="20">
        <f t="shared" si="0"/>
        <v>44.388247741601667</v>
      </c>
    </row>
    <row r="19" spans="1:7" x14ac:dyDescent="0.3">
      <c r="A19" s="5" t="s">
        <v>10</v>
      </c>
      <c r="B19" s="15">
        <v>100</v>
      </c>
      <c r="C19" s="16">
        <v>88.474868420000007</v>
      </c>
      <c r="D19" s="16">
        <v>87.201336108838873</v>
      </c>
      <c r="E19" s="16">
        <v>92.672688790261304</v>
      </c>
      <c r="F19" s="16">
        <v>35.476311767702498</v>
      </c>
      <c r="G19" s="20">
        <f t="shared" si="0"/>
        <v>80.765041017360531</v>
      </c>
    </row>
    <row r="20" spans="1:7" x14ac:dyDescent="0.3">
      <c r="A20" s="5" t="s">
        <v>11</v>
      </c>
      <c r="B20" s="15">
        <v>1.7752656025091789</v>
      </c>
      <c r="C20" s="16">
        <v>92.19875845</v>
      </c>
      <c r="D20" s="16">
        <v>0.79782243224614002</v>
      </c>
      <c r="E20" s="16">
        <v>83.852589622549218</v>
      </c>
      <c r="F20" s="16">
        <v>4.7682119205298008</v>
      </c>
      <c r="G20" s="20">
        <f t="shared" si="0"/>
        <v>36.678529605566865</v>
      </c>
    </row>
    <row r="21" spans="1:7" x14ac:dyDescent="0.3">
      <c r="A21" s="5" t="s">
        <v>78</v>
      </c>
      <c r="B21" s="15">
        <v>25.173747445983064</v>
      </c>
      <c r="C21" s="16">
        <v>43.109989949999999</v>
      </c>
      <c r="D21" s="16">
        <v>55.669309552332138</v>
      </c>
      <c r="E21" s="16">
        <v>87.907821147261174</v>
      </c>
      <c r="F21" s="16">
        <v>41.630157921548651</v>
      </c>
      <c r="G21" s="20">
        <f t="shared" si="0"/>
        <v>50.698205203425005</v>
      </c>
    </row>
    <row r="22" spans="1:7" x14ac:dyDescent="0.3">
      <c r="A22" s="5" t="s">
        <v>79</v>
      </c>
      <c r="B22" s="15">
        <v>0.68845803040909859</v>
      </c>
      <c r="C22" s="16">
        <v>0.78745990600000004</v>
      </c>
      <c r="D22" s="16">
        <v>30.68792711803744</v>
      </c>
      <c r="E22" s="16">
        <v>89.554440963243295</v>
      </c>
      <c r="F22" s="16">
        <v>30.830361691288843</v>
      </c>
      <c r="G22" s="20">
        <f t="shared" si="0"/>
        <v>30.509729541795739</v>
      </c>
    </row>
    <row r="23" spans="1:7" x14ac:dyDescent="0.3">
      <c r="A23" s="5" t="s">
        <v>12</v>
      </c>
      <c r="B23" s="15">
        <v>11.467967624678456</v>
      </c>
      <c r="C23" s="16">
        <v>36.10946208</v>
      </c>
      <c r="D23" s="16">
        <v>40.901415796884827</v>
      </c>
      <c r="E23" s="16">
        <v>84.06199422054425</v>
      </c>
      <c r="F23" s="16">
        <v>4.2893530310748851</v>
      </c>
      <c r="G23" s="20">
        <f t="shared" si="0"/>
        <v>35.366038550636482</v>
      </c>
    </row>
    <row r="24" spans="1:7" x14ac:dyDescent="0.3">
      <c r="A24" s="5" t="s">
        <v>80</v>
      </c>
      <c r="B24" s="15">
        <v>35.802861401472818</v>
      </c>
      <c r="C24" s="16">
        <v>89.036936190000006</v>
      </c>
      <c r="D24" s="16">
        <v>71.925277567461649</v>
      </c>
      <c r="E24" s="16">
        <v>86.026468056115945</v>
      </c>
      <c r="F24" s="16">
        <v>3.4233316352521652</v>
      </c>
      <c r="G24" s="20">
        <f t="shared" si="0"/>
        <v>57.242974970060516</v>
      </c>
    </row>
    <row r="25" spans="1:7" x14ac:dyDescent="0.3">
      <c r="A25" s="5" t="s">
        <v>13</v>
      </c>
      <c r="B25" s="15">
        <v>19.458489121984858</v>
      </c>
      <c r="C25" s="16">
        <v>99.182513029999996</v>
      </c>
      <c r="D25" s="16">
        <v>29.967348473470839</v>
      </c>
      <c r="E25" s="16">
        <v>89.604642640257907</v>
      </c>
      <c r="F25" s="16">
        <v>19.969434538970962</v>
      </c>
      <c r="G25" s="20">
        <f t="shared" si="0"/>
        <v>51.636485560936912</v>
      </c>
    </row>
    <row r="26" spans="1:7" x14ac:dyDescent="0.3">
      <c r="A26" s="5" t="s">
        <v>14</v>
      </c>
      <c r="B26" s="15">
        <v>0</v>
      </c>
      <c r="C26" s="16">
        <v>0</v>
      </c>
      <c r="D26" s="16">
        <v>56.666335919341208</v>
      </c>
      <c r="E26" s="16">
        <v>92.503903504067239</v>
      </c>
      <c r="F26" s="16">
        <v>20.468670402445234</v>
      </c>
      <c r="G26" s="20">
        <f t="shared" si="0"/>
        <v>33.927781965170738</v>
      </c>
    </row>
    <row r="27" spans="1:7" x14ac:dyDescent="0.3">
      <c r="A27" s="5" t="s">
        <v>15</v>
      </c>
      <c r="B27" s="15">
        <v>15.402126437686212</v>
      </c>
      <c r="C27" s="16">
        <v>0</v>
      </c>
      <c r="D27" s="16">
        <v>40.3657367108664</v>
      </c>
      <c r="E27" s="16">
        <v>91.97205311465892</v>
      </c>
      <c r="F27" s="16">
        <v>49.006622516556291</v>
      </c>
      <c r="G27" s="20">
        <f t="shared" si="0"/>
        <v>39.349307755953561</v>
      </c>
    </row>
    <row r="28" spans="1:7" x14ac:dyDescent="0.3">
      <c r="A28" s="5" t="s">
        <v>16</v>
      </c>
      <c r="B28" s="15">
        <v>11.875981696650314</v>
      </c>
      <c r="C28" s="16">
        <v>82.037215849999995</v>
      </c>
      <c r="D28" s="16">
        <v>14.50787491349528</v>
      </c>
      <c r="E28" s="16">
        <v>87.491199028938553</v>
      </c>
      <c r="F28" s="16">
        <v>10.10697911360163</v>
      </c>
      <c r="G28" s="20">
        <f t="shared" si="0"/>
        <v>41.203850120537155</v>
      </c>
    </row>
    <row r="29" spans="1:7" x14ac:dyDescent="0.3">
      <c r="A29" s="5" t="s">
        <v>17</v>
      </c>
      <c r="B29" s="15">
        <v>0.76544251187168444</v>
      </c>
      <c r="C29" s="16">
        <v>0</v>
      </c>
      <c r="D29" s="16">
        <v>7.7704661279253973</v>
      </c>
      <c r="E29" s="16">
        <v>91.295873911428828</v>
      </c>
      <c r="F29" s="16">
        <v>0.21395822720326033</v>
      </c>
      <c r="G29" s="20">
        <f t="shared" si="0"/>
        <v>20.009148155685835</v>
      </c>
    </row>
    <row r="30" spans="1:7" x14ac:dyDescent="0.3">
      <c r="A30" s="5" t="s">
        <v>63</v>
      </c>
      <c r="B30" s="15">
        <v>13.089610651964081</v>
      </c>
      <c r="C30" s="16">
        <v>89.111282340000002</v>
      </c>
      <c r="D30" s="16">
        <v>27.219053818134061</v>
      </c>
      <c r="E30" s="16">
        <v>90.488966586856478</v>
      </c>
      <c r="F30" s="16">
        <v>87.33571064696892</v>
      </c>
      <c r="G30" s="20">
        <f t="shared" si="0"/>
        <v>61.44892480878471</v>
      </c>
    </row>
    <row r="31" spans="1:7" x14ac:dyDescent="0.3">
      <c r="A31" s="5" t="s">
        <v>18</v>
      </c>
      <c r="B31" s="15">
        <v>0.97560990310439233</v>
      </c>
      <c r="C31" s="16">
        <v>0</v>
      </c>
      <c r="D31" s="16">
        <v>39.058872927373102</v>
      </c>
      <c r="E31" s="16">
        <v>86.58236000553012</v>
      </c>
      <c r="F31" s="16">
        <v>11.329597554763115</v>
      </c>
      <c r="G31" s="20">
        <f t="shared" si="0"/>
        <v>27.589288078154148</v>
      </c>
    </row>
    <row r="32" spans="1:7" x14ac:dyDescent="0.3">
      <c r="A32" s="5" t="s">
        <v>19</v>
      </c>
      <c r="B32" s="15">
        <v>18.050671892728307</v>
      </c>
      <c r="C32" s="16">
        <v>32.653645040000001</v>
      </c>
      <c r="D32" s="16">
        <v>46.365793061932429</v>
      </c>
      <c r="E32" s="16">
        <v>85.651159366242027</v>
      </c>
      <c r="F32" s="16">
        <v>16.403464085583291</v>
      </c>
      <c r="G32" s="20">
        <f t="shared" si="0"/>
        <v>39.824946689297207</v>
      </c>
    </row>
    <row r="33" spans="1:7" x14ac:dyDescent="0.3">
      <c r="A33" s="5" t="s">
        <v>20</v>
      </c>
      <c r="B33" s="15">
        <v>13.469564379060845</v>
      </c>
      <c r="C33" s="16">
        <v>75.11176184</v>
      </c>
      <c r="D33" s="16">
        <v>36.89029986877091</v>
      </c>
      <c r="E33" s="16">
        <v>94.15728890158617</v>
      </c>
      <c r="F33" s="16">
        <v>14.060112073357105</v>
      </c>
      <c r="G33" s="20">
        <f t="shared" si="0"/>
        <v>46.737805412555005</v>
      </c>
    </row>
    <row r="34" spans="1:7" x14ac:dyDescent="0.3">
      <c r="A34" s="5" t="s">
        <v>72</v>
      </c>
      <c r="B34" s="15">
        <v>66.042920227337248</v>
      </c>
      <c r="C34" s="16">
        <v>78.814075290000005</v>
      </c>
      <c r="D34" s="16">
        <v>70.033687389579285</v>
      </c>
      <c r="E34" s="16">
        <v>79.460801839938327</v>
      </c>
      <c r="F34" s="16">
        <v>7.1726948548140603</v>
      </c>
      <c r="G34" s="20">
        <f t="shared" si="0"/>
        <v>60.30483592033378</v>
      </c>
    </row>
    <row r="35" spans="1:7" x14ac:dyDescent="0.3">
      <c r="A35" s="5" t="s">
        <v>21</v>
      </c>
      <c r="B35" s="15">
        <v>18.738786251373512</v>
      </c>
      <c r="C35" s="16">
        <v>38.619727099999999</v>
      </c>
      <c r="D35" s="16">
        <v>55.898444580829221</v>
      </c>
      <c r="E35" s="16">
        <v>95.274484965726657</v>
      </c>
      <c r="F35" s="16">
        <v>18.665308201732042</v>
      </c>
      <c r="G35" s="20">
        <f t="shared" si="0"/>
        <v>45.439350219932287</v>
      </c>
    </row>
    <row r="36" spans="1:7" x14ac:dyDescent="0.3">
      <c r="A36" s="5" t="s">
        <v>22</v>
      </c>
      <c r="B36" s="15">
        <v>16.350664170860878</v>
      </c>
      <c r="C36" s="16">
        <v>35.221518490000001</v>
      </c>
      <c r="D36" s="16">
        <v>37.913921330224682</v>
      </c>
      <c r="E36" s="16">
        <v>97.424862047981236</v>
      </c>
      <c r="F36" s="16">
        <v>30.361691288843605</v>
      </c>
      <c r="G36" s="20">
        <f t="shared" si="0"/>
        <v>43.454531465582079</v>
      </c>
    </row>
    <row r="37" spans="1:7" x14ac:dyDescent="0.3">
      <c r="A37" s="5" t="s">
        <v>23</v>
      </c>
      <c r="B37" s="15">
        <v>20.322395272464199</v>
      </c>
      <c r="C37" s="16">
        <v>59.05594331999999</v>
      </c>
      <c r="D37" s="16">
        <v>46.932190655984186</v>
      </c>
      <c r="E37" s="16">
        <v>95.408125159494006</v>
      </c>
      <c r="F37" s="16">
        <v>8.5379521141110555</v>
      </c>
      <c r="G37" s="20">
        <f t="shared" si="0"/>
        <v>46.051321304410685</v>
      </c>
    </row>
    <row r="38" spans="1:7" x14ac:dyDescent="0.3">
      <c r="A38" s="5" t="s">
        <v>73</v>
      </c>
      <c r="B38" s="15">
        <v>8.3894668779166395</v>
      </c>
      <c r="C38" s="16">
        <v>20.402945219999999</v>
      </c>
      <c r="D38" s="16">
        <v>41.838181307445929</v>
      </c>
      <c r="E38" s="16">
        <v>99.849604540947411</v>
      </c>
      <c r="F38" s="16">
        <v>0</v>
      </c>
      <c r="G38" s="20">
        <f t="shared" si="0"/>
        <v>34.096039589261991</v>
      </c>
    </row>
    <row r="39" spans="1:7" x14ac:dyDescent="0.3">
      <c r="A39" s="5" t="s">
        <v>24</v>
      </c>
      <c r="B39" s="15">
        <v>36.108926130540837</v>
      </c>
      <c r="C39" s="16">
        <v>72.798406589999999</v>
      </c>
      <c r="D39" s="16">
        <v>51.205088097232618</v>
      </c>
      <c r="E39" s="16">
        <v>36.35602457453794</v>
      </c>
      <c r="F39" s="16">
        <v>0.36678553234844619</v>
      </c>
      <c r="G39" s="20">
        <f t="shared" si="0"/>
        <v>39.367046184931965</v>
      </c>
    </row>
    <row r="40" spans="1:7" x14ac:dyDescent="0.3">
      <c r="A40" s="5" t="s">
        <v>74</v>
      </c>
      <c r="B40" s="15">
        <v>73.128197353892517</v>
      </c>
      <c r="C40" s="16">
        <v>83.891704779999998</v>
      </c>
      <c r="D40" s="16">
        <v>86.956884650819475</v>
      </c>
      <c r="E40" s="16">
        <v>92.708447135210463</v>
      </c>
      <c r="F40" s="16">
        <v>5.1451859398879263</v>
      </c>
      <c r="G40" s="20">
        <f t="shared" si="0"/>
        <v>68.36608397196207</v>
      </c>
    </row>
    <row r="41" spans="1:7" x14ac:dyDescent="0.3">
      <c r="A41" s="5" t="s">
        <v>81</v>
      </c>
      <c r="B41" s="15">
        <v>33.270597393012793</v>
      </c>
      <c r="C41" s="16">
        <v>89.54692833</v>
      </c>
      <c r="D41" s="16">
        <v>30.569698385894551</v>
      </c>
      <c r="E41" s="16">
        <v>84.619064182717864</v>
      </c>
      <c r="F41" s="16">
        <v>62.485990830361679</v>
      </c>
      <c r="G41" s="20">
        <f t="shared" si="0"/>
        <v>60.098455824397377</v>
      </c>
    </row>
    <row r="42" spans="1:7" x14ac:dyDescent="0.3">
      <c r="A42" s="5" t="s">
        <v>68</v>
      </c>
      <c r="B42" s="15">
        <v>24.785448293881526</v>
      </c>
      <c r="C42" s="16">
        <v>35.398092859999998</v>
      </c>
      <c r="D42" s="16">
        <v>74.306114313450436</v>
      </c>
      <c r="E42" s="16">
        <v>91.878512522823968</v>
      </c>
      <c r="F42" s="16">
        <v>16.525725929699437</v>
      </c>
      <c r="G42" s="20">
        <f t="shared" si="0"/>
        <v>48.578778783971067</v>
      </c>
    </row>
    <row r="43" spans="1:7" x14ac:dyDescent="0.3">
      <c r="A43" s="5" t="s">
        <v>25</v>
      </c>
      <c r="B43" s="15">
        <v>49.293569368508557</v>
      </c>
      <c r="C43" s="16">
        <v>57.164711339999997</v>
      </c>
      <c r="D43" s="16">
        <v>85.808160428358434</v>
      </c>
      <c r="E43" s="16">
        <v>94.170175989861278</v>
      </c>
      <c r="F43" s="16">
        <v>14.151808456444218</v>
      </c>
      <c r="G43" s="20">
        <f t="shared" si="0"/>
        <v>60.117685116634497</v>
      </c>
    </row>
    <row r="44" spans="1:7" x14ac:dyDescent="0.3">
      <c r="A44" s="5" t="s">
        <v>26</v>
      </c>
      <c r="B44" s="15">
        <v>15.345869226593514</v>
      </c>
      <c r="C44" s="16">
        <v>95.555089519999996</v>
      </c>
      <c r="D44" s="16">
        <v>30.060985972588494</v>
      </c>
      <c r="E44" s="16">
        <v>92.098280422168031</v>
      </c>
      <c r="F44" s="16">
        <v>44.880285277636268</v>
      </c>
      <c r="G44" s="20">
        <f t="shared" si="0"/>
        <v>55.588102083797267</v>
      </c>
    </row>
    <row r="45" spans="1:7" x14ac:dyDescent="0.3">
      <c r="A45" s="5" t="s">
        <v>27</v>
      </c>
      <c r="B45" s="15">
        <v>76.153974767145996</v>
      </c>
      <c r="C45" s="16">
        <v>99.587342039999996</v>
      </c>
      <c r="D45" s="16">
        <v>69.570175832873545</v>
      </c>
      <c r="E45" s="16">
        <v>80.308709582575574</v>
      </c>
      <c r="F45" s="16">
        <v>4.9923586347427404</v>
      </c>
      <c r="G45" s="20">
        <f t="shared" si="0"/>
        <v>66.122512171467577</v>
      </c>
    </row>
    <row r="46" spans="1:7" x14ac:dyDescent="0.3">
      <c r="A46" s="5" t="s">
        <v>28</v>
      </c>
      <c r="B46" s="15">
        <v>64.774453460923795</v>
      </c>
      <c r="C46" s="16">
        <v>81.899298239999993</v>
      </c>
      <c r="D46" s="16">
        <v>72.340045577191276</v>
      </c>
      <c r="E46" s="16">
        <v>79.756705709724784</v>
      </c>
      <c r="F46" s="16">
        <v>2.312786551197147</v>
      </c>
      <c r="G46" s="20">
        <f t="shared" si="0"/>
        <v>60.216657907807402</v>
      </c>
    </row>
    <row r="47" spans="1:7" x14ac:dyDescent="0.3">
      <c r="A47" s="5" t="s">
        <v>29</v>
      </c>
      <c r="B47" s="15">
        <v>95.828806931507103</v>
      </c>
      <c r="C47" s="16">
        <v>94.556103910000004</v>
      </c>
      <c r="D47" s="16">
        <v>92.719170834419899</v>
      </c>
      <c r="E47" s="16">
        <v>77.053777247993125</v>
      </c>
      <c r="F47" s="16">
        <v>8.0285277636271015</v>
      </c>
      <c r="G47" s="20">
        <f t="shared" si="0"/>
        <v>73.637277337509445</v>
      </c>
    </row>
    <row r="48" spans="1:7" x14ac:dyDescent="0.3">
      <c r="A48" s="5" t="s">
        <v>30</v>
      </c>
      <c r="B48" s="15">
        <v>23.725120841338722</v>
      </c>
      <c r="C48" s="16">
        <v>67.182065379999997</v>
      </c>
      <c r="D48" s="16">
        <v>54.800583702544237</v>
      </c>
      <c r="E48" s="16">
        <v>88.82997155630396</v>
      </c>
      <c r="F48" s="16">
        <v>8.1304126337238927</v>
      </c>
      <c r="G48" s="20">
        <f t="shared" si="0"/>
        <v>48.533630822782158</v>
      </c>
    </row>
    <row r="49" spans="1:7" x14ac:dyDescent="0.3">
      <c r="A49" s="5" t="s">
        <v>31</v>
      </c>
      <c r="B49" s="15">
        <v>0</v>
      </c>
      <c r="C49" s="16">
        <v>0</v>
      </c>
      <c r="D49" s="16">
        <v>9.2781542000031578</v>
      </c>
      <c r="E49" s="16">
        <v>62.919111157519566</v>
      </c>
      <c r="F49" s="16">
        <v>7.9266428935303095</v>
      </c>
      <c r="G49" s="20">
        <f t="shared" si="0"/>
        <v>16.02478165021061</v>
      </c>
    </row>
    <row r="50" spans="1:7" x14ac:dyDescent="0.3">
      <c r="A50" s="5" t="s">
        <v>64</v>
      </c>
      <c r="B50" s="15">
        <v>20.278848742636349</v>
      </c>
      <c r="C50" s="16">
        <v>90.53536373</v>
      </c>
      <c r="D50" s="16">
        <v>36.50664101487591</v>
      </c>
      <c r="E50" s="16">
        <v>94.712164332050733</v>
      </c>
      <c r="F50" s="16">
        <v>26.591951095262356</v>
      </c>
      <c r="G50" s="20">
        <f t="shared" si="0"/>
        <v>53.724993782965065</v>
      </c>
    </row>
    <row r="51" spans="1:7" x14ac:dyDescent="0.3">
      <c r="A51" s="5" t="s">
        <v>32</v>
      </c>
      <c r="B51" s="15">
        <v>18.825430429699313</v>
      </c>
      <c r="C51" s="16">
        <v>99.99841447</v>
      </c>
      <c r="D51" s="16">
        <v>47.317490993547587</v>
      </c>
      <c r="E51" s="16">
        <v>84.480223490327859</v>
      </c>
      <c r="F51" s="16">
        <v>100</v>
      </c>
      <c r="G51" s="20">
        <f t="shared" si="0"/>
        <v>70.124311876714955</v>
      </c>
    </row>
    <row r="52" spans="1:7" x14ac:dyDescent="0.3">
      <c r="A52" s="5" t="s">
        <v>33</v>
      </c>
      <c r="B52" s="15">
        <v>11.871674092771801</v>
      </c>
      <c r="C52" s="16">
        <v>88.011345649999996</v>
      </c>
      <c r="D52" s="16">
        <v>34.424056400679298</v>
      </c>
      <c r="E52" s="16">
        <v>66.215254543335021</v>
      </c>
      <c r="F52" s="16">
        <v>5.715741212429954</v>
      </c>
      <c r="G52" s="20">
        <f t="shared" si="0"/>
        <v>41.247614379843213</v>
      </c>
    </row>
    <row r="53" spans="1:7" x14ac:dyDescent="0.3">
      <c r="A53" s="5" t="s">
        <v>69</v>
      </c>
      <c r="B53" s="15">
        <v>0</v>
      </c>
      <c r="C53" s="16">
        <v>0</v>
      </c>
      <c r="D53" s="16">
        <v>2.8877002340209814</v>
      </c>
      <c r="E53" s="16">
        <v>35.777019482230749</v>
      </c>
      <c r="F53" s="16">
        <v>4.4931227712684665</v>
      </c>
      <c r="G53" s="20">
        <f t="shared" si="0"/>
        <v>8.6315684975040412</v>
      </c>
    </row>
    <row r="54" spans="1:7" x14ac:dyDescent="0.3">
      <c r="A54" s="5" t="s">
        <v>34</v>
      </c>
      <c r="B54" s="15">
        <v>0</v>
      </c>
      <c r="C54" s="16">
        <v>0</v>
      </c>
      <c r="D54" s="16">
        <v>0.36995115900425135</v>
      </c>
      <c r="E54" s="16">
        <v>41.073819994634881</v>
      </c>
      <c r="F54" s="16">
        <v>4.116148751910341</v>
      </c>
      <c r="G54" s="20">
        <f t="shared" si="0"/>
        <v>9.1119839811098942</v>
      </c>
    </row>
    <row r="55" spans="1:7" x14ac:dyDescent="0.3">
      <c r="A55" s="5" t="s">
        <v>35</v>
      </c>
      <c r="B55" s="15">
        <v>0</v>
      </c>
      <c r="C55" s="16">
        <v>0</v>
      </c>
      <c r="D55" s="16">
        <v>0</v>
      </c>
      <c r="E55" s="16">
        <v>78.489106910049998</v>
      </c>
      <c r="F55" s="16">
        <v>9.3632195618950576</v>
      </c>
      <c r="G55" s="20">
        <f t="shared" si="0"/>
        <v>17.57046529438901</v>
      </c>
    </row>
    <row r="56" spans="1:7" x14ac:dyDescent="0.3">
      <c r="A56" s="5" t="s">
        <v>75</v>
      </c>
      <c r="B56" s="15">
        <v>45.454839357053586</v>
      </c>
      <c r="C56" s="16">
        <v>55.63447905000001</v>
      </c>
      <c r="D56" s="16">
        <v>61.861366806283634</v>
      </c>
      <c r="E56" s="16">
        <v>95.161569083185142</v>
      </c>
      <c r="F56" s="16">
        <v>1.2531839021905247</v>
      </c>
      <c r="G56" s="20">
        <f t="shared" si="0"/>
        <v>51.873087639742579</v>
      </c>
    </row>
    <row r="57" spans="1:7" x14ac:dyDescent="0.3">
      <c r="A57" s="5" t="s">
        <v>36</v>
      </c>
      <c r="B57" s="15">
        <v>15.131943234525117</v>
      </c>
      <c r="C57" s="16">
        <v>33.79688754</v>
      </c>
      <c r="D57" s="16">
        <v>56.439330913991348</v>
      </c>
      <c r="E57" s="16">
        <v>64.466387670094392</v>
      </c>
      <c r="F57" s="16">
        <v>2.4961793173713702</v>
      </c>
      <c r="G57" s="20">
        <f t="shared" si="0"/>
        <v>34.466145735196449</v>
      </c>
    </row>
    <row r="58" spans="1:7" x14ac:dyDescent="0.3">
      <c r="A58" s="5" t="s">
        <v>37</v>
      </c>
      <c r="B58" s="15">
        <v>6.6906235886055487</v>
      </c>
      <c r="C58" s="16">
        <v>6.1307115220000004</v>
      </c>
      <c r="D58" s="16">
        <v>68.291802950657583</v>
      </c>
      <c r="E58" s="16">
        <v>97.211564902967694</v>
      </c>
      <c r="F58" s="16">
        <v>78.86907794192561</v>
      </c>
      <c r="G58" s="20">
        <f t="shared" si="0"/>
        <v>51.438756181231284</v>
      </c>
    </row>
    <row r="59" spans="1:7" x14ac:dyDescent="0.3">
      <c r="A59" s="5" t="s">
        <v>38</v>
      </c>
      <c r="B59" s="15">
        <v>6.0594138159456312</v>
      </c>
      <c r="C59" s="16">
        <v>8.885612278</v>
      </c>
      <c r="D59" s="16">
        <v>73.228106686310838</v>
      </c>
      <c r="E59" s="16">
        <v>87.685546205691892</v>
      </c>
      <c r="F59" s="16">
        <v>20.682628629648498</v>
      </c>
      <c r="G59" s="20">
        <f t="shared" si="0"/>
        <v>39.308261523119377</v>
      </c>
    </row>
    <row r="60" spans="1:7" x14ac:dyDescent="0.3">
      <c r="A60" s="5" t="s">
        <v>39</v>
      </c>
      <c r="B60" s="15">
        <v>25.555903679060744</v>
      </c>
      <c r="C60" s="16">
        <v>59.15956748</v>
      </c>
      <c r="D60" s="16">
        <v>50.572201907539572</v>
      </c>
      <c r="E60" s="16">
        <v>76.591692537587335</v>
      </c>
      <c r="F60" s="16">
        <v>1.6301579215486499</v>
      </c>
      <c r="G60" s="20">
        <f t="shared" si="0"/>
        <v>42.701904705147257</v>
      </c>
    </row>
    <row r="61" spans="1:7" x14ac:dyDescent="0.3">
      <c r="A61" s="5" t="s">
        <v>40</v>
      </c>
      <c r="B61" s="15">
        <v>3.9018180832835014</v>
      </c>
      <c r="C61" s="16">
        <v>33.758072239999997</v>
      </c>
      <c r="D61" s="16">
        <v>46.039199612644865</v>
      </c>
      <c r="E61" s="16">
        <v>0</v>
      </c>
      <c r="F61" s="16">
        <v>0</v>
      </c>
      <c r="G61" s="20">
        <f t="shared" si="0"/>
        <v>16.73981798718567</v>
      </c>
    </row>
    <row r="62" spans="1:7" x14ac:dyDescent="0.3">
      <c r="A62" s="5" t="s">
        <v>41</v>
      </c>
      <c r="B62" s="15">
        <v>6.0267321787934121</v>
      </c>
      <c r="C62" s="16">
        <v>33.011295220000001</v>
      </c>
      <c r="D62" s="16">
        <v>45.819381097118054</v>
      </c>
      <c r="E62" s="16">
        <v>87.362524324127222</v>
      </c>
      <c r="F62" s="16">
        <v>24.177279673968417</v>
      </c>
      <c r="G62" s="20">
        <f t="shared" si="0"/>
        <v>39.279442498801416</v>
      </c>
    </row>
    <row r="63" spans="1:7" x14ac:dyDescent="0.3">
      <c r="A63" s="5" t="s">
        <v>42</v>
      </c>
      <c r="B63" s="15">
        <v>7.6493292509154083</v>
      </c>
      <c r="C63" s="16">
        <v>33.658923479999999</v>
      </c>
      <c r="D63" s="16">
        <v>57.060452232190215</v>
      </c>
      <c r="E63" s="16">
        <v>92.429288925666881</v>
      </c>
      <c r="F63" s="16">
        <v>15.924605196128375</v>
      </c>
      <c r="G63" s="20">
        <f t="shared" si="0"/>
        <v>41.344519816980181</v>
      </c>
    </row>
    <row r="64" spans="1:7" x14ac:dyDescent="0.3">
      <c r="A64" s="5" t="s">
        <v>65</v>
      </c>
      <c r="B64" s="15">
        <v>13.896634148183773</v>
      </c>
      <c r="C64" s="16">
        <v>14.39727506</v>
      </c>
      <c r="D64" s="16">
        <v>56.887664496782506</v>
      </c>
      <c r="E64" s="16">
        <v>83.106108614580506</v>
      </c>
      <c r="F64" s="16">
        <v>7.1421293937850221</v>
      </c>
      <c r="G64" s="20">
        <f t="shared" si="0"/>
        <v>35.085962342666363</v>
      </c>
    </row>
    <row r="65" spans="1:7" x14ac:dyDescent="0.3">
      <c r="A65" s="5" t="s">
        <v>43</v>
      </c>
      <c r="B65" s="15">
        <v>0.73810353982587984</v>
      </c>
      <c r="C65" s="16">
        <v>0.35174381300000002</v>
      </c>
      <c r="D65" s="16">
        <v>74.500052535663102</v>
      </c>
      <c r="E65" s="16">
        <v>95.520843564299568</v>
      </c>
      <c r="F65" s="16">
        <v>4.0346408558329081</v>
      </c>
      <c r="G65" s="20">
        <f t="shared" si="0"/>
        <v>35.029076861724292</v>
      </c>
    </row>
    <row r="66" spans="1:7" x14ac:dyDescent="0.3">
      <c r="A66" s="5" t="s">
        <v>44</v>
      </c>
      <c r="B66" s="15">
        <v>58.630436318552206</v>
      </c>
      <c r="C66" s="16">
        <v>76.418551780000001</v>
      </c>
      <c r="D66" s="16">
        <v>66.686124883315628</v>
      </c>
      <c r="E66" s="16">
        <v>93.628970363326019</v>
      </c>
      <c r="F66" s="16">
        <v>0.11207335710646969</v>
      </c>
      <c r="G66" s="20">
        <f t="shared" si="0"/>
        <v>59.095231340460053</v>
      </c>
    </row>
    <row r="67" spans="1:7" x14ac:dyDescent="0.3">
      <c r="A67" s="5" t="s">
        <v>45</v>
      </c>
      <c r="B67" s="15">
        <v>4.0096419696306684</v>
      </c>
      <c r="C67" s="16">
        <v>3.5682988290000002</v>
      </c>
      <c r="D67" s="16">
        <v>78.945341738232315</v>
      </c>
      <c r="E67" s="16">
        <v>85.219599000397764</v>
      </c>
      <c r="F67" s="16">
        <v>8.7213448802852778</v>
      </c>
      <c r="G67" s="20">
        <f t="shared" si="0"/>
        <v>36.092845283509206</v>
      </c>
    </row>
    <row r="68" spans="1:7" x14ac:dyDescent="0.3">
      <c r="A68" s="5" t="s">
        <v>46</v>
      </c>
      <c r="B68" s="15">
        <v>19.286950287266517</v>
      </c>
      <c r="C68" s="16">
        <v>24.1381707</v>
      </c>
      <c r="D68" s="16">
        <v>71.185481872536144</v>
      </c>
      <c r="E68" s="16">
        <v>83.178229802920299</v>
      </c>
      <c r="F68" s="16">
        <v>3.3418237391747319</v>
      </c>
      <c r="G68" s="20">
        <f t="shared" ref="G68:G86" si="1">0.6*AVERAGE(B68,C68,D68)+0.4*AVERAGE(E68,F68)</f>
        <v>40.226131280379541</v>
      </c>
    </row>
    <row r="69" spans="1:7" x14ac:dyDescent="0.3">
      <c r="A69" s="5" t="s">
        <v>47</v>
      </c>
      <c r="B69" s="15">
        <v>12.990048243266578</v>
      </c>
      <c r="C69" s="16">
        <v>32.282326419999997</v>
      </c>
      <c r="D69" s="16">
        <v>56.709208506039964</v>
      </c>
      <c r="E69" s="16">
        <v>79.970514393896067</v>
      </c>
      <c r="F69" s="16">
        <v>4.961793173713704</v>
      </c>
      <c r="G69" s="20">
        <f t="shared" si="1"/>
        <v>37.382778147383263</v>
      </c>
    </row>
    <row r="70" spans="1:7" x14ac:dyDescent="0.3">
      <c r="A70" s="5" t="s">
        <v>48</v>
      </c>
      <c r="B70" s="15">
        <v>8.76285457903934</v>
      </c>
      <c r="C70" s="16">
        <v>16.490330740000001</v>
      </c>
      <c r="D70" s="16">
        <v>58.304554026867649</v>
      </c>
      <c r="E70" s="16">
        <v>97.186826067913231</v>
      </c>
      <c r="F70" s="16">
        <v>14.671421293937851</v>
      </c>
      <c r="G70" s="20">
        <f t="shared" si="1"/>
        <v>39.08319734155161</v>
      </c>
    </row>
    <row r="71" spans="1:7" x14ac:dyDescent="0.3">
      <c r="A71" s="5" t="s">
        <v>49</v>
      </c>
      <c r="B71" s="15">
        <v>12.484008688085696</v>
      </c>
      <c r="C71" s="16">
        <v>28.167669140000001</v>
      </c>
      <c r="D71" s="16">
        <v>61.020013478848448</v>
      </c>
      <c r="E71" s="16">
        <v>73.66714386609361</v>
      </c>
      <c r="F71" s="16">
        <v>2.4146714212939377</v>
      </c>
      <c r="G71" s="20">
        <f t="shared" si="1"/>
        <v>35.550701318864341</v>
      </c>
    </row>
    <row r="72" spans="1:7" x14ac:dyDescent="0.3">
      <c r="A72" s="5" t="s">
        <v>50</v>
      </c>
      <c r="B72" s="15">
        <v>47.296390049604369</v>
      </c>
      <c r="C72" s="16">
        <v>54.852023490000001</v>
      </c>
      <c r="D72" s="16">
        <v>79.168141129102878</v>
      </c>
      <c r="E72" s="16">
        <v>87.611032283013785</v>
      </c>
      <c r="F72" s="16">
        <v>6.3066734589913391</v>
      </c>
      <c r="G72" s="20">
        <f t="shared" si="1"/>
        <v>55.046852082142479</v>
      </c>
    </row>
    <row r="73" spans="1:7" x14ac:dyDescent="0.3">
      <c r="A73" s="5" t="s">
        <v>51</v>
      </c>
      <c r="B73" s="15">
        <v>5.1770324637173255</v>
      </c>
      <c r="C73" s="16">
        <v>4.5792657349999999</v>
      </c>
      <c r="D73" s="16">
        <v>62.508525306325801</v>
      </c>
      <c r="E73" s="16">
        <v>75.063085238577315</v>
      </c>
      <c r="F73" s="16">
        <v>15.089149261334692</v>
      </c>
      <c r="G73" s="20">
        <f t="shared" si="1"/>
        <v>32.483411600991033</v>
      </c>
    </row>
    <row r="74" spans="1:7" x14ac:dyDescent="0.3">
      <c r="A74" s="5" t="s">
        <v>52</v>
      </c>
      <c r="B74" s="15">
        <v>18.130131134527776</v>
      </c>
      <c r="C74" s="16">
        <v>21.208758240000002</v>
      </c>
      <c r="D74" s="16">
        <v>78.218065154297179</v>
      </c>
      <c r="E74" s="16">
        <v>76.163160706227615</v>
      </c>
      <c r="F74" s="16">
        <v>11.563932755985736</v>
      </c>
      <c r="G74" s="20">
        <f t="shared" si="1"/>
        <v>41.056809598207664</v>
      </c>
    </row>
    <row r="75" spans="1:7" x14ac:dyDescent="0.3">
      <c r="A75" s="5" t="s">
        <v>53</v>
      </c>
      <c r="B75" s="15">
        <v>34.154914826007079</v>
      </c>
      <c r="C75" s="16">
        <v>55.601304419999998</v>
      </c>
      <c r="D75" s="16">
        <v>66.489800096719804</v>
      </c>
      <c r="E75" s="16">
        <v>90.272897165363375</v>
      </c>
      <c r="F75" s="16">
        <v>16.556291390728475</v>
      </c>
      <c r="G75" s="20">
        <f t="shared" si="1"/>
        <v>52.615041579763741</v>
      </c>
    </row>
    <row r="76" spans="1:7" x14ac:dyDescent="0.3">
      <c r="A76" s="5" t="s">
        <v>54</v>
      </c>
      <c r="B76" s="15">
        <v>1.9946756120419449</v>
      </c>
      <c r="C76" s="16">
        <v>8.4968498360000009</v>
      </c>
      <c r="D76" s="16">
        <v>48.978040663510072</v>
      </c>
      <c r="E76" s="16">
        <v>92.54225397248824</v>
      </c>
      <c r="F76" s="16">
        <v>4.9923586347427404</v>
      </c>
      <c r="G76" s="20">
        <f t="shared" si="1"/>
        <v>31.400835743756602</v>
      </c>
    </row>
    <row r="77" spans="1:7" x14ac:dyDescent="0.3">
      <c r="A77" s="5" t="s">
        <v>55</v>
      </c>
      <c r="B77" s="15">
        <v>0</v>
      </c>
      <c r="C77" s="16">
        <v>0</v>
      </c>
      <c r="D77" s="16">
        <v>39.603415281209841</v>
      </c>
      <c r="E77" s="16">
        <v>90.137814956413791</v>
      </c>
      <c r="F77" s="16">
        <v>0</v>
      </c>
      <c r="G77" s="20">
        <f t="shared" si="1"/>
        <v>25.948246047524727</v>
      </c>
    </row>
    <row r="78" spans="1:7" x14ac:dyDescent="0.3">
      <c r="A78" s="5" t="s">
        <v>56</v>
      </c>
      <c r="B78" s="15">
        <v>12.030396595365344</v>
      </c>
      <c r="C78" s="16">
        <v>21.40451594</v>
      </c>
      <c r="D78" s="16">
        <v>62.928065148492529</v>
      </c>
      <c r="E78" s="16">
        <v>94.206788435215387</v>
      </c>
      <c r="F78" s="16">
        <v>0</v>
      </c>
      <c r="G78" s="20">
        <f t="shared" si="1"/>
        <v>38.113953223814654</v>
      </c>
    </row>
    <row r="79" spans="1:7" x14ac:dyDescent="0.3">
      <c r="A79" s="5" t="s">
        <v>57</v>
      </c>
      <c r="B79" s="15">
        <v>17.257449376011362</v>
      </c>
      <c r="C79" s="16">
        <v>20.172389450000001</v>
      </c>
      <c r="D79" s="16">
        <v>73.132830205771327</v>
      </c>
      <c r="E79" s="16">
        <v>100</v>
      </c>
      <c r="F79" s="16">
        <v>0</v>
      </c>
      <c r="G79" s="20">
        <f t="shared" si="1"/>
        <v>42.112533806356538</v>
      </c>
    </row>
    <row r="80" spans="1:7" x14ac:dyDescent="0.3">
      <c r="A80" s="5" t="s">
        <v>70</v>
      </c>
      <c r="B80" s="15">
        <v>80.564705503244895</v>
      </c>
      <c r="C80" s="16">
        <v>72.533018620000007</v>
      </c>
      <c r="D80" s="16">
        <v>89.172329068773649</v>
      </c>
      <c r="E80" s="16">
        <v>99.992291569785635</v>
      </c>
      <c r="F80" s="16">
        <v>0</v>
      </c>
      <c r="G80" s="20">
        <f t="shared" si="1"/>
        <v>68.452468952360846</v>
      </c>
    </row>
    <row r="81" spans="1:7" x14ac:dyDescent="0.3">
      <c r="A81" s="5" t="s">
        <v>82</v>
      </c>
      <c r="B81" s="15">
        <v>33.982038154567498</v>
      </c>
      <c r="C81" s="16">
        <v>39.459043880000003</v>
      </c>
      <c r="D81" s="16">
        <v>94.588007749860878</v>
      </c>
      <c r="E81" s="16">
        <v>75.409277509985529</v>
      </c>
      <c r="F81" s="16">
        <v>1.3550687722873151</v>
      </c>
      <c r="G81" s="20">
        <f t="shared" si="1"/>
        <v>48.958687213340241</v>
      </c>
    </row>
    <row r="82" spans="1:7" x14ac:dyDescent="0.3">
      <c r="A82" s="5" t="s">
        <v>76</v>
      </c>
      <c r="B82" s="15">
        <v>56.989435862089977</v>
      </c>
      <c r="C82" s="16">
        <v>78.980023020000004</v>
      </c>
      <c r="D82" s="16">
        <v>60.343736360160449</v>
      </c>
      <c r="E82" s="16">
        <v>89.449545172508564</v>
      </c>
      <c r="F82" s="16">
        <v>22.526744778400406</v>
      </c>
      <c r="G82" s="20">
        <f t="shared" si="1"/>
        <v>61.65789703863188</v>
      </c>
    </row>
    <row r="83" spans="1:7" x14ac:dyDescent="0.3">
      <c r="A83" s="5" t="s">
        <v>58</v>
      </c>
      <c r="B83" s="15">
        <v>16.659442943561039</v>
      </c>
      <c r="C83" s="16">
        <v>52.562207620000002</v>
      </c>
      <c r="D83" s="16">
        <v>47.195843088477602</v>
      </c>
      <c r="E83" s="16">
        <v>87.683823070599985</v>
      </c>
      <c r="F83" s="16">
        <v>12.226184411614874</v>
      </c>
      <c r="G83" s="20">
        <f t="shared" si="1"/>
        <v>43.265500226850705</v>
      </c>
    </row>
    <row r="84" spans="1:7" x14ac:dyDescent="0.3">
      <c r="A84" s="5" t="s">
        <v>59</v>
      </c>
      <c r="B84" s="15">
        <v>66.563732504673752</v>
      </c>
      <c r="C84" s="16">
        <v>66.348183030000001</v>
      </c>
      <c r="D84" s="16">
        <v>100</v>
      </c>
      <c r="E84" s="16">
        <v>93.779326349502085</v>
      </c>
      <c r="F84" s="16">
        <v>0.24452368823229745</v>
      </c>
      <c r="G84" s="20">
        <f t="shared" si="1"/>
        <v>65.387153114481634</v>
      </c>
    </row>
    <row r="85" spans="1:7" x14ac:dyDescent="0.3">
      <c r="A85" s="5" t="s">
        <v>60</v>
      </c>
      <c r="B85" s="15">
        <v>8.1866868062099059</v>
      </c>
      <c r="C85" s="16">
        <v>13.147411509999998</v>
      </c>
      <c r="D85" s="16">
        <v>67.044981897313278</v>
      </c>
      <c r="E85" s="16">
        <v>89.075865714759033</v>
      </c>
      <c r="F85" s="16">
        <v>6.9791136016301571</v>
      </c>
      <c r="G85" s="20">
        <f t="shared" si="1"/>
        <v>36.886811905982476</v>
      </c>
    </row>
    <row r="86" spans="1:7" ht="15" thickBot="1" x14ac:dyDescent="0.35">
      <c r="A86" s="6" t="s">
        <v>66</v>
      </c>
      <c r="B86" s="17">
        <v>15.132886968227282</v>
      </c>
      <c r="C86" s="18">
        <v>35.337413060000003</v>
      </c>
      <c r="D86" s="18">
        <v>56.728796818260832</v>
      </c>
      <c r="E86" s="18">
        <v>68.688307048653456</v>
      </c>
      <c r="F86" s="18">
        <v>1.5792154865002548</v>
      </c>
      <c r="G86" s="21">
        <f t="shared" si="1"/>
        <v>35.493323876328361</v>
      </c>
    </row>
  </sheetData>
  <mergeCells count="3">
    <mergeCell ref="B1:D1"/>
    <mergeCell ref="E1:F1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96B0-875F-4FB0-B5DD-E18CD1046184}">
  <dimension ref="A1:T86"/>
  <sheetViews>
    <sheetView zoomScale="80" zoomScaleNormal="80" workbookViewId="0">
      <selection activeCell="J19" sqref="J19"/>
    </sheetView>
  </sheetViews>
  <sheetFormatPr defaultRowHeight="14.4" x14ac:dyDescent="0.3"/>
  <cols>
    <col min="1" max="1" width="18.44140625" bestFit="1" customWidth="1"/>
    <col min="2" max="2" width="22.109375" bestFit="1" customWidth="1"/>
    <col min="3" max="3" width="21.77734375" bestFit="1" customWidth="1"/>
    <col min="4" max="4" width="13.88671875" bestFit="1" customWidth="1"/>
    <col min="5" max="5" width="10.88671875" customWidth="1"/>
    <col min="6" max="6" width="11.77734375" customWidth="1"/>
    <col min="12" max="12" width="18.44140625" bestFit="1" customWidth="1"/>
    <col min="13" max="13" width="5.5546875" bestFit="1" customWidth="1"/>
    <col min="16" max="16" width="18.44140625" bestFit="1" customWidth="1"/>
    <col min="20" max="20" width="15.6640625" bestFit="1" customWidth="1"/>
  </cols>
  <sheetData>
    <row r="1" spans="1:20" x14ac:dyDescent="0.3">
      <c r="A1" s="2"/>
      <c r="B1" s="3" t="s">
        <v>85</v>
      </c>
      <c r="C1" s="3"/>
      <c r="D1" s="3"/>
      <c r="E1" s="3" t="s">
        <v>93</v>
      </c>
      <c r="F1" s="3"/>
      <c r="G1" s="2"/>
      <c r="L1" t="s">
        <v>89</v>
      </c>
      <c r="M1" t="s">
        <v>92</v>
      </c>
      <c r="P1" t="s">
        <v>77</v>
      </c>
      <c r="Q1" t="s">
        <v>87</v>
      </c>
      <c r="S1" t="s">
        <v>89</v>
      </c>
      <c r="T1" t="s">
        <v>90</v>
      </c>
    </row>
    <row r="2" spans="1:20" x14ac:dyDescent="0.3">
      <c r="A2" s="2" t="s">
        <v>77</v>
      </c>
      <c r="B2" s="2" t="s">
        <v>86</v>
      </c>
      <c r="C2" s="2" t="s">
        <v>88</v>
      </c>
      <c r="D2" s="2" t="s">
        <v>91</v>
      </c>
      <c r="E2" s="2" t="s">
        <v>94</v>
      </c>
      <c r="F2" s="2" t="s">
        <v>95</v>
      </c>
      <c r="G2" s="2" t="s">
        <v>96</v>
      </c>
      <c r="K2" s="1">
        <v>2.5423084416318176</v>
      </c>
      <c r="L2" t="s">
        <v>67</v>
      </c>
      <c r="M2" s="1">
        <v>4.2857833822795461</v>
      </c>
      <c r="P2" t="s">
        <v>67</v>
      </c>
      <c r="Q2">
        <v>0</v>
      </c>
      <c r="S2" t="s">
        <v>12</v>
      </c>
      <c r="T2">
        <v>36.10946208</v>
      </c>
    </row>
    <row r="3" spans="1:20" x14ac:dyDescent="0.3">
      <c r="A3" t="s">
        <v>67</v>
      </c>
      <c r="B3" s="1">
        <f>_xlfn.XLOOKUP(A3,$P$2:$P$85,$Q$2:$Q$85,0)</f>
        <v>0</v>
      </c>
      <c r="C3" s="1">
        <f>_xlfn.XLOOKUP(A3,$S$2:$S$75,$T$2:$T$75,0)</f>
        <v>0</v>
      </c>
      <c r="D3" s="1">
        <f>_xlfn.XLOOKUP(A3,$L$2:$L$85,$M$2:$M$85,0)</f>
        <v>4.2857833822795461</v>
      </c>
      <c r="E3" s="1">
        <f>K2*1000</f>
        <v>2542.3084416318175</v>
      </c>
      <c r="F3">
        <v>1.54</v>
      </c>
      <c r="K3" s="1">
        <v>1.0722778177228072</v>
      </c>
      <c r="L3" t="s">
        <v>83</v>
      </c>
      <c r="M3" s="1">
        <v>20.556658569339586</v>
      </c>
      <c r="P3" t="s">
        <v>83</v>
      </c>
      <c r="Q3">
        <v>19.348601611495255</v>
      </c>
      <c r="S3" t="s">
        <v>13</v>
      </c>
      <c r="T3">
        <v>99.182513029999996</v>
      </c>
    </row>
    <row r="4" spans="1:20" x14ac:dyDescent="0.3">
      <c r="A4" t="s">
        <v>83</v>
      </c>
      <c r="B4" s="1">
        <f t="shared" ref="B4:B67" si="0">_xlfn.XLOOKUP(A4,$P$2:$P$85,$Q$2:$Q$85,0)</f>
        <v>19.348601611495255</v>
      </c>
      <c r="C4" s="1">
        <f t="shared" ref="C4:C67" si="1">_xlfn.XLOOKUP(A4,$S$2:$S$75,$T$2:$T$75,0)</f>
        <v>89.786635520000004</v>
      </c>
      <c r="D4" s="1">
        <f t="shared" ref="D4:D67" si="2">_xlfn.XLOOKUP(A4,$L$2:$L$85,$M$2:$M$85,0)</f>
        <v>20.556658569339586</v>
      </c>
      <c r="E4" s="1">
        <f t="shared" ref="E4:E67" si="3">K3*1000</f>
        <v>1072.2778177228072</v>
      </c>
      <c r="F4">
        <v>9.4</v>
      </c>
      <c r="K4" s="1">
        <v>0.61161374799834356</v>
      </c>
      <c r="L4" t="s">
        <v>0</v>
      </c>
      <c r="M4" s="1">
        <v>31.460966106997105</v>
      </c>
      <c r="P4" t="s">
        <v>0</v>
      </c>
      <c r="Q4">
        <v>3.6371365320399787</v>
      </c>
      <c r="S4" t="s">
        <v>23</v>
      </c>
      <c r="T4">
        <v>59.055943319999997</v>
      </c>
    </row>
    <row r="5" spans="1:20" x14ac:dyDescent="0.3">
      <c r="A5" t="s">
        <v>0</v>
      </c>
      <c r="B5" s="1">
        <f t="shared" si="0"/>
        <v>3.6371365320399787</v>
      </c>
      <c r="C5" s="1">
        <f t="shared" si="1"/>
        <v>7.297535624</v>
      </c>
      <c r="D5" s="1">
        <f t="shared" si="2"/>
        <v>31.460966106997105</v>
      </c>
      <c r="E5" s="1">
        <f t="shared" si="3"/>
        <v>611.61374799834357</v>
      </c>
      <c r="F5">
        <v>7.34</v>
      </c>
      <c r="K5" s="1">
        <v>0.16361765082290311</v>
      </c>
      <c r="L5" t="s">
        <v>1</v>
      </c>
      <c r="M5" s="1">
        <v>59.339827853461792</v>
      </c>
      <c r="P5" t="s">
        <v>1</v>
      </c>
      <c r="Q5">
        <v>4.6311981743131563</v>
      </c>
      <c r="S5" t="s">
        <v>22</v>
      </c>
      <c r="T5">
        <v>35.221518490000001</v>
      </c>
    </row>
    <row r="6" spans="1:20" x14ac:dyDescent="0.3">
      <c r="A6" t="s">
        <v>1</v>
      </c>
      <c r="B6" s="1">
        <f t="shared" si="0"/>
        <v>4.6311981743131563</v>
      </c>
      <c r="C6" s="1">
        <f t="shared" si="1"/>
        <v>17.573206599999999</v>
      </c>
      <c r="D6" s="1">
        <f t="shared" si="2"/>
        <v>59.339827853461792</v>
      </c>
      <c r="E6" s="1">
        <f t="shared" si="3"/>
        <v>163.6176508229031</v>
      </c>
      <c r="F6">
        <v>20.69</v>
      </c>
      <c r="K6" s="1">
        <v>0.28796395219566417</v>
      </c>
      <c r="L6" t="s">
        <v>84</v>
      </c>
      <c r="M6" s="1">
        <v>58.438040191498921</v>
      </c>
      <c r="P6" t="s">
        <v>84</v>
      </c>
      <c r="Q6">
        <v>10.170851829575401</v>
      </c>
      <c r="S6" t="s">
        <v>16</v>
      </c>
      <c r="T6">
        <v>82.037215849999995</v>
      </c>
    </row>
    <row r="7" spans="1:20" x14ac:dyDescent="0.3">
      <c r="A7" t="s">
        <v>84</v>
      </c>
      <c r="B7" s="1">
        <f t="shared" si="0"/>
        <v>10.170851829575401</v>
      </c>
      <c r="C7" s="1">
        <f t="shared" si="1"/>
        <v>12.69079136</v>
      </c>
      <c r="D7" s="1">
        <f t="shared" si="2"/>
        <v>58.438040191498921</v>
      </c>
      <c r="E7" s="1">
        <f t="shared" si="3"/>
        <v>287.96395219566415</v>
      </c>
      <c r="F7">
        <v>13.17</v>
      </c>
      <c r="K7" s="1">
        <v>0.41182198347371102</v>
      </c>
      <c r="L7" t="s">
        <v>71</v>
      </c>
      <c r="M7" s="1">
        <v>42.350452425669708</v>
      </c>
      <c r="P7" t="s">
        <v>71</v>
      </c>
      <c r="Q7">
        <v>12.162966018468795</v>
      </c>
      <c r="S7" t="s">
        <v>18</v>
      </c>
      <c r="T7">
        <v>0</v>
      </c>
    </row>
    <row r="8" spans="1:20" x14ac:dyDescent="0.3">
      <c r="A8" t="s">
        <v>71</v>
      </c>
      <c r="B8" s="1">
        <f t="shared" si="0"/>
        <v>12.162966018468795</v>
      </c>
      <c r="C8" s="1">
        <f t="shared" si="1"/>
        <v>28.8825489</v>
      </c>
      <c r="D8" s="1">
        <f t="shared" si="2"/>
        <v>42.350452425669708</v>
      </c>
      <c r="E8" s="1">
        <f t="shared" si="3"/>
        <v>411.82198347371104</v>
      </c>
      <c r="F8">
        <v>9.11</v>
      </c>
      <c r="K8" s="1">
        <v>0.46706324179457748</v>
      </c>
      <c r="L8" t="s">
        <v>2</v>
      </c>
      <c r="M8" s="1">
        <v>60.662626533507172</v>
      </c>
      <c r="P8" t="s">
        <v>2</v>
      </c>
      <c r="Q8">
        <v>26.497348352968885</v>
      </c>
      <c r="S8" t="s">
        <v>63</v>
      </c>
      <c r="T8">
        <v>89.111282340000002</v>
      </c>
    </row>
    <row r="9" spans="1:20" x14ac:dyDescent="0.3">
      <c r="A9" t="s">
        <v>2</v>
      </c>
      <c r="B9" s="1">
        <f t="shared" si="0"/>
        <v>26.497348352968885</v>
      </c>
      <c r="C9" s="1">
        <f t="shared" si="1"/>
        <v>60.84390397</v>
      </c>
      <c r="D9" s="1">
        <f t="shared" si="2"/>
        <v>60.662626533507172</v>
      </c>
      <c r="E9" s="1">
        <f t="shared" si="3"/>
        <v>467.06324179457749</v>
      </c>
      <c r="F9">
        <v>41.19</v>
      </c>
      <c r="K9" s="1">
        <v>0.51989424363672876</v>
      </c>
      <c r="L9" t="s">
        <v>3</v>
      </c>
      <c r="M9" s="1">
        <v>24.212528351034877</v>
      </c>
      <c r="P9" t="s">
        <v>3</v>
      </c>
      <c r="Q9">
        <v>9.247858217261733</v>
      </c>
      <c r="S9" t="s">
        <v>73</v>
      </c>
      <c r="T9">
        <v>20.402945219999999</v>
      </c>
    </row>
    <row r="10" spans="1:20" x14ac:dyDescent="0.3">
      <c r="A10" t="s">
        <v>3</v>
      </c>
      <c r="B10" s="1">
        <f t="shared" si="0"/>
        <v>9.247858217261733</v>
      </c>
      <c r="C10" s="1">
        <f t="shared" si="1"/>
        <v>62.328888970000001</v>
      </c>
      <c r="D10" s="1">
        <f t="shared" si="2"/>
        <v>24.212528351034877</v>
      </c>
      <c r="E10" s="1">
        <f t="shared" si="3"/>
        <v>519.89424363672879</v>
      </c>
      <c r="F10">
        <v>1.42</v>
      </c>
      <c r="K10" s="1">
        <v>0.70787397173465794</v>
      </c>
      <c r="L10" t="s">
        <v>4</v>
      </c>
      <c r="M10" s="1">
        <v>33.631589653349018</v>
      </c>
      <c r="P10" t="s">
        <v>4</v>
      </c>
      <c r="Q10">
        <v>36.067212506239244</v>
      </c>
      <c r="S10" t="s">
        <v>19</v>
      </c>
      <c r="T10">
        <v>32.653645040000001</v>
      </c>
    </row>
    <row r="11" spans="1:20" x14ac:dyDescent="0.3">
      <c r="A11" t="s">
        <v>4</v>
      </c>
      <c r="B11" s="1">
        <f t="shared" si="0"/>
        <v>36.067212506239244</v>
      </c>
      <c r="C11" s="1">
        <f t="shared" si="1"/>
        <v>94.955919469999998</v>
      </c>
      <c r="D11" s="1">
        <f t="shared" si="2"/>
        <v>33.631589653349018</v>
      </c>
      <c r="E11" s="1">
        <f t="shared" si="3"/>
        <v>707.87397173465797</v>
      </c>
      <c r="F11">
        <v>13.64</v>
      </c>
      <c r="K11" s="1">
        <v>0.2480414322938207</v>
      </c>
      <c r="L11" t="s">
        <v>5</v>
      </c>
      <c r="M11" s="1">
        <v>21.693180973983289</v>
      </c>
      <c r="P11" t="s">
        <v>5</v>
      </c>
      <c r="Q11">
        <v>26.448769750584205</v>
      </c>
      <c r="S11" t="s">
        <v>80</v>
      </c>
      <c r="T11">
        <v>89.036936190000006</v>
      </c>
    </row>
    <row r="12" spans="1:20" x14ac:dyDescent="0.3">
      <c r="A12" t="s">
        <v>5</v>
      </c>
      <c r="B12" s="1">
        <f t="shared" si="0"/>
        <v>26.448769750584205</v>
      </c>
      <c r="C12" s="1">
        <f t="shared" si="1"/>
        <v>100</v>
      </c>
      <c r="D12" s="1">
        <f t="shared" si="2"/>
        <v>21.693180973983289</v>
      </c>
      <c r="E12" s="1">
        <f t="shared" si="3"/>
        <v>248.04143229382069</v>
      </c>
      <c r="F12">
        <v>0</v>
      </c>
      <c r="K12" s="1">
        <v>0.27441885162658342</v>
      </c>
      <c r="L12" t="s">
        <v>61</v>
      </c>
      <c r="M12" s="1">
        <v>81.683731019407674</v>
      </c>
      <c r="P12" t="s">
        <v>61</v>
      </c>
      <c r="Q12">
        <v>75.316898626729142</v>
      </c>
      <c r="S12" t="s">
        <v>72</v>
      </c>
      <c r="T12">
        <v>78.814075290000005</v>
      </c>
    </row>
    <row r="13" spans="1:20" x14ac:dyDescent="0.3">
      <c r="A13" t="s">
        <v>61</v>
      </c>
      <c r="B13" s="1">
        <f t="shared" si="0"/>
        <v>75.316898626729142</v>
      </c>
      <c r="C13" s="1">
        <f t="shared" si="1"/>
        <v>96.896045979999997</v>
      </c>
      <c r="D13" s="1">
        <f t="shared" si="2"/>
        <v>81.683731019407674</v>
      </c>
      <c r="E13" s="1">
        <f t="shared" si="3"/>
        <v>274.41885162658343</v>
      </c>
      <c r="F13">
        <v>1.64</v>
      </c>
      <c r="K13" s="1">
        <v>0.28570116146663627</v>
      </c>
      <c r="L13" t="s">
        <v>6</v>
      </c>
      <c r="M13" s="1">
        <v>57.934948725614831</v>
      </c>
      <c r="P13" t="s">
        <v>6</v>
      </c>
      <c r="Q13">
        <v>7.9607615090680985</v>
      </c>
      <c r="S13" t="s">
        <v>21</v>
      </c>
      <c r="T13">
        <v>38.619727099999999</v>
      </c>
    </row>
    <row r="14" spans="1:20" x14ac:dyDescent="0.3">
      <c r="A14" t="s">
        <v>6</v>
      </c>
      <c r="B14" s="1">
        <f t="shared" si="0"/>
        <v>7.9607615090680985</v>
      </c>
      <c r="C14" s="1">
        <f t="shared" si="1"/>
        <v>36.13656615</v>
      </c>
      <c r="D14" s="1">
        <f t="shared" si="2"/>
        <v>57.934948725614831</v>
      </c>
      <c r="E14" s="1">
        <f t="shared" si="3"/>
        <v>285.70116146663628</v>
      </c>
      <c r="F14">
        <v>35.46</v>
      </c>
      <c r="K14" s="1">
        <v>1.7738367406371891</v>
      </c>
      <c r="L14" t="s">
        <v>62</v>
      </c>
      <c r="M14" s="1">
        <v>7.473317269191913</v>
      </c>
      <c r="P14" t="s">
        <v>62</v>
      </c>
      <c r="Q14">
        <v>0</v>
      </c>
      <c r="S14" t="s">
        <v>20</v>
      </c>
      <c r="T14">
        <v>75.11176184</v>
      </c>
    </row>
    <row r="15" spans="1:20" x14ac:dyDescent="0.3">
      <c r="A15" t="s">
        <v>62</v>
      </c>
      <c r="B15" s="1">
        <f t="shared" si="0"/>
        <v>0</v>
      </c>
      <c r="C15" s="1">
        <f t="shared" si="1"/>
        <v>0</v>
      </c>
      <c r="D15" s="1">
        <f t="shared" si="2"/>
        <v>7.473317269191913</v>
      </c>
      <c r="E15" s="1">
        <f t="shared" si="3"/>
        <v>1773.836740637189</v>
      </c>
      <c r="F15">
        <v>0.76</v>
      </c>
      <c r="K15" s="1">
        <v>0.87351732685969119</v>
      </c>
      <c r="L15" t="s">
        <v>7</v>
      </c>
      <c r="M15" s="1">
        <v>45.658066154535135</v>
      </c>
      <c r="P15" t="s">
        <v>7</v>
      </c>
      <c r="Q15">
        <v>13.942662781498036</v>
      </c>
      <c r="S15" t="s">
        <v>26</v>
      </c>
      <c r="T15">
        <v>95.555089519999996</v>
      </c>
    </row>
    <row r="16" spans="1:20" x14ac:dyDescent="0.3">
      <c r="A16" t="s">
        <v>7</v>
      </c>
      <c r="B16" s="1">
        <f t="shared" si="0"/>
        <v>13.942662781498036</v>
      </c>
      <c r="C16" s="1">
        <f t="shared" si="1"/>
        <v>71.944796519999997</v>
      </c>
      <c r="D16" s="1">
        <f t="shared" si="2"/>
        <v>45.658066154535135</v>
      </c>
      <c r="E16" s="1">
        <f t="shared" si="3"/>
        <v>873.51732685969114</v>
      </c>
      <c r="F16">
        <v>4.08</v>
      </c>
      <c r="K16" s="1">
        <v>0.55867447029986084</v>
      </c>
      <c r="L16" t="s">
        <v>8</v>
      </c>
      <c r="M16" s="1">
        <v>20.553742568324768</v>
      </c>
      <c r="P16" t="s">
        <v>8</v>
      </c>
      <c r="Q16">
        <v>0.84557739425600553</v>
      </c>
      <c r="S16" t="s">
        <v>24</v>
      </c>
      <c r="T16">
        <v>72.798406589999999</v>
      </c>
    </row>
    <row r="17" spans="1:20" x14ac:dyDescent="0.3">
      <c r="A17" t="s">
        <v>8</v>
      </c>
      <c r="B17" s="1">
        <f t="shared" si="0"/>
        <v>0.84557739425600553</v>
      </c>
      <c r="C17" s="1">
        <f t="shared" si="1"/>
        <v>0</v>
      </c>
      <c r="D17" s="1">
        <f t="shared" si="2"/>
        <v>20.553742568324768</v>
      </c>
      <c r="E17" s="1">
        <f t="shared" si="3"/>
        <v>558.67447029986079</v>
      </c>
      <c r="F17">
        <v>7.88</v>
      </c>
      <c r="K17" s="1">
        <v>8.4274248401578017E-2</v>
      </c>
      <c r="L17" t="s">
        <v>9</v>
      </c>
      <c r="M17" s="1">
        <v>71.832748133261731</v>
      </c>
      <c r="P17" t="s">
        <v>9</v>
      </c>
      <c r="Q17">
        <v>16.036688456315858</v>
      </c>
      <c r="S17" t="s">
        <v>28</v>
      </c>
      <c r="T17">
        <v>81.899298239999993</v>
      </c>
    </row>
    <row r="18" spans="1:20" x14ac:dyDescent="0.3">
      <c r="A18" t="s">
        <v>9</v>
      </c>
      <c r="B18" s="1">
        <f t="shared" si="0"/>
        <v>16.036688456315858</v>
      </c>
      <c r="C18" s="1">
        <f t="shared" si="1"/>
        <v>29.846698480000001</v>
      </c>
      <c r="D18" s="1">
        <f t="shared" si="2"/>
        <v>71.832748133261731</v>
      </c>
      <c r="E18" s="1">
        <f t="shared" si="3"/>
        <v>84.274248401578021</v>
      </c>
      <c r="F18">
        <v>1.71</v>
      </c>
      <c r="K18" s="1">
        <v>0.19750064119004876</v>
      </c>
      <c r="L18" t="s">
        <v>10</v>
      </c>
      <c r="M18" s="1">
        <v>82.773231323155258</v>
      </c>
      <c r="P18" t="s">
        <v>10</v>
      </c>
      <c r="Q18">
        <v>88.513610353296144</v>
      </c>
      <c r="S18" t="s">
        <v>68</v>
      </c>
      <c r="T18">
        <v>35.398092859999998</v>
      </c>
    </row>
    <row r="19" spans="1:20" x14ac:dyDescent="0.3">
      <c r="A19" t="s">
        <v>10</v>
      </c>
      <c r="B19" s="1">
        <f t="shared" si="0"/>
        <v>88.513610353296144</v>
      </c>
      <c r="C19" s="1">
        <f t="shared" si="1"/>
        <v>88.474868420000007</v>
      </c>
      <c r="D19" s="1">
        <f t="shared" si="2"/>
        <v>82.773231323155258</v>
      </c>
      <c r="E19" s="1">
        <f t="shared" si="3"/>
        <v>197.50064119004875</v>
      </c>
      <c r="F19">
        <v>34.82</v>
      </c>
      <c r="K19" s="1">
        <v>0.43523794906741808</v>
      </c>
      <c r="L19" t="s">
        <v>11</v>
      </c>
      <c r="M19" s="1">
        <v>2.9353895255289792</v>
      </c>
      <c r="P19" t="s">
        <v>11</v>
      </c>
      <c r="Q19">
        <v>1.5713516781410697</v>
      </c>
      <c r="S19" t="s">
        <v>81</v>
      </c>
      <c r="T19">
        <v>89.54692833</v>
      </c>
    </row>
    <row r="20" spans="1:20" x14ac:dyDescent="0.3">
      <c r="A20" t="s">
        <v>11</v>
      </c>
      <c r="B20" s="1">
        <f t="shared" si="0"/>
        <v>1.5713516781410697</v>
      </c>
      <c r="C20" s="1">
        <f t="shared" si="1"/>
        <v>92.19875845</v>
      </c>
      <c r="D20" s="1">
        <f t="shared" si="2"/>
        <v>2.9353895255289792</v>
      </c>
      <c r="E20" s="1">
        <f t="shared" si="3"/>
        <v>435.23794906741807</v>
      </c>
      <c r="F20">
        <v>4.68</v>
      </c>
      <c r="K20" s="1">
        <v>0.32593307537238198</v>
      </c>
      <c r="L20" t="s">
        <v>78</v>
      </c>
      <c r="M20" s="1">
        <v>53.637275611912827</v>
      </c>
      <c r="P20" t="s">
        <v>78</v>
      </c>
      <c r="Q20">
        <v>22.282192725660288</v>
      </c>
      <c r="S20" t="s">
        <v>27</v>
      </c>
      <c r="T20">
        <v>99.587342039999996</v>
      </c>
    </row>
    <row r="21" spans="1:20" x14ac:dyDescent="0.3">
      <c r="A21" t="s">
        <v>78</v>
      </c>
      <c r="B21" s="1">
        <f t="shared" si="0"/>
        <v>22.282192725660288</v>
      </c>
      <c r="C21" s="1">
        <f t="shared" si="1"/>
        <v>43.109989949999999</v>
      </c>
      <c r="D21" s="1">
        <f t="shared" si="2"/>
        <v>53.637275611912827</v>
      </c>
      <c r="E21" s="1">
        <f t="shared" si="3"/>
        <v>325.93307537238195</v>
      </c>
      <c r="F21">
        <v>40.86</v>
      </c>
      <c r="K21" s="1">
        <v>0.28155001859427303</v>
      </c>
      <c r="L21" t="s">
        <v>79</v>
      </c>
      <c r="M21" s="1">
        <v>30.554190517243441</v>
      </c>
      <c r="P21" t="s">
        <v>79</v>
      </c>
      <c r="Q21">
        <v>0.60937905848228657</v>
      </c>
      <c r="S21" t="s">
        <v>74</v>
      </c>
      <c r="T21">
        <v>83.891704779999998</v>
      </c>
    </row>
    <row r="22" spans="1:20" x14ac:dyDescent="0.3">
      <c r="A22" t="s">
        <v>79</v>
      </c>
      <c r="B22" s="1">
        <f t="shared" si="0"/>
        <v>0.60937905848228657</v>
      </c>
      <c r="C22" s="1">
        <f t="shared" si="1"/>
        <v>0.78745990600000004</v>
      </c>
      <c r="D22" s="1">
        <f t="shared" si="2"/>
        <v>30.554190517243441</v>
      </c>
      <c r="E22" s="1">
        <f t="shared" si="3"/>
        <v>281.55001859427301</v>
      </c>
      <c r="F22">
        <v>30.26</v>
      </c>
      <c r="K22" s="1">
        <v>0.42959364910685488</v>
      </c>
      <c r="L22" t="s">
        <v>12</v>
      </c>
      <c r="M22" s="1">
        <v>39.991571691298269</v>
      </c>
      <c r="P22" t="s">
        <v>12</v>
      </c>
      <c r="Q22">
        <v>10.150712178750039</v>
      </c>
      <c r="S22" t="s">
        <v>25</v>
      </c>
      <c r="T22">
        <v>57.164711339999997</v>
      </c>
    </row>
    <row r="23" spans="1:20" x14ac:dyDescent="0.3">
      <c r="A23" t="s">
        <v>12</v>
      </c>
      <c r="B23" s="1">
        <f t="shared" si="0"/>
        <v>10.150712178750039</v>
      </c>
      <c r="C23" s="1">
        <f t="shared" si="1"/>
        <v>36.10946208</v>
      </c>
      <c r="D23" s="1">
        <f t="shared" si="2"/>
        <v>39.991571691298269</v>
      </c>
      <c r="E23" s="1">
        <f t="shared" si="3"/>
        <v>429.59364910685485</v>
      </c>
      <c r="F23">
        <v>4.21</v>
      </c>
      <c r="K23" s="1">
        <v>0.37664314229464019</v>
      </c>
      <c r="L23" t="s">
        <v>80</v>
      </c>
      <c r="M23" s="1">
        <v>68.657977287506583</v>
      </c>
      <c r="P23" t="s">
        <v>80</v>
      </c>
      <c r="Q23">
        <v>31.690405236230312</v>
      </c>
      <c r="S23" t="s">
        <v>42</v>
      </c>
      <c r="T23">
        <v>33.658923479999999</v>
      </c>
    </row>
    <row r="24" spans="1:20" x14ac:dyDescent="0.3">
      <c r="A24" t="s">
        <v>80</v>
      </c>
      <c r="B24" s="1">
        <f t="shared" si="0"/>
        <v>31.690405236230312</v>
      </c>
      <c r="C24" s="1">
        <f t="shared" si="1"/>
        <v>89.036936190000006</v>
      </c>
      <c r="D24" s="1">
        <f t="shared" si="2"/>
        <v>68.657977287506583</v>
      </c>
      <c r="E24" s="1">
        <f t="shared" si="3"/>
        <v>376.6431422946402</v>
      </c>
      <c r="F24">
        <v>3.36</v>
      </c>
      <c r="K24" s="1">
        <v>0.28019688057196229</v>
      </c>
      <c r="L24" t="s">
        <v>13</v>
      </c>
      <c r="M24" s="1">
        <v>29.888367550332767</v>
      </c>
      <c r="P24" t="s">
        <v>13</v>
      </c>
      <c r="Q24">
        <v>17.223411242072196</v>
      </c>
      <c r="S24" t="s">
        <v>39</v>
      </c>
      <c r="T24">
        <v>59.15956748</v>
      </c>
    </row>
    <row r="25" spans="1:20" x14ac:dyDescent="0.3">
      <c r="A25" t="s">
        <v>13</v>
      </c>
      <c r="B25" s="1">
        <f t="shared" si="0"/>
        <v>17.223411242072196</v>
      </c>
      <c r="C25" s="1">
        <f t="shared" si="1"/>
        <v>99.182513029999996</v>
      </c>
      <c r="D25" s="1">
        <f t="shared" si="2"/>
        <v>29.888367550332767</v>
      </c>
      <c r="E25" s="1">
        <f t="shared" si="3"/>
        <v>280.19688057196231</v>
      </c>
      <c r="F25">
        <v>19.600000000000001</v>
      </c>
      <c r="K25" s="1">
        <v>0.20205008658585319</v>
      </c>
      <c r="L25" t="s">
        <v>14</v>
      </c>
      <c r="M25" s="1">
        <v>54.558539458372536</v>
      </c>
      <c r="P25" t="s">
        <v>14</v>
      </c>
      <c r="Q25">
        <v>0</v>
      </c>
      <c r="S25" t="s">
        <v>40</v>
      </c>
      <c r="T25">
        <v>33.758072239999997</v>
      </c>
    </row>
    <row r="26" spans="1:20" x14ac:dyDescent="0.3">
      <c r="A26" t="s">
        <v>14</v>
      </c>
      <c r="B26" s="1">
        <f t="shared" si="0"/>
        <v>0</v>
      </c>
      <c r="C26" s="1">
        <f t="shared" si="1"/>
        <v>0</v>
      </c>
      <c r="D26" s="1">
        <f t="shared" si="2"/>
        <v>54.558539458372536</v>
      </c>
      <c r="E26" s="1">
        <f t="shared" si="3"/>
        <v>202.05008658585319</v>
      </c>
      <c r="F26">
        <v>20.09</v>
      </c>
      <c r="K26" s="1">
        <v>0.21638560338302551</v>
      </c>
      <c r="L26" t="s">
        <v>15</v>
      </c>
      <c r="M26" s="1">
        <v>39.496598046083861</v>
      </c>
      <c r="P26" t="s">
        <v>15</v>
      </c>
      <c r="Q26">
        <v>13.632978181175584</v>
      </c>
      <c r="S26" t="s">
        <v>41</v>
      </c>
      <c r="T26">
        <v>33.011295220000001</v>
      </c>
    </row>
    <row r="27" spans="1:20" x14ac:dyDescent="0.3">
      <c r="A27" t="s">
        <v>15</v>
      </c>
      <c r="B27" s="1">
        <f t="shared" si="0"/>
        <v>13.632978181175584</v>
      </c>
      <c r="C27" s="1">
        <f t="shared" si="1"/>
        <v>0</v>
      </c>
      <c r="D27" s="1">
        <f t="shared" si="2"/>
        <v>39.496598046083861</v>
      </c>
      <c r="E27" s="1">
        <f t="shared" si="3"/>
        <v>216.38560338302551</v>
      </c>
      <c r="F27">
        <v>48.1</v>
      </c>
      <c r="K27" s="1">
        <v>0.33716272471405495</v>
      </c>
      <c r="L27" t="s">
        <v>16</v>
      </c>
      <c r="M27" s="1">
        <v>15.603635924999788</v>
      </c>
      <c r="P27" t="s">
        <v>16</v>
      </c>
      <c r="Q27">
        <v>10.511860164601828</v>
      </c>
      <c r="S27" t="s">
        <v>45</v>
      </c>
      <c r="T27">
        <v>3.5682988290000002</v>
      </c>
    </row>
    <row r="28" spans="1:20" x14ac:dyDescent="0.3">
      <c r="A28" t="s">
        <v>16</v>
      </c>
      <c r="B28" s="1">
        <f t="shared" si="0"/>
        <v>10.511860164601828</v>
      </c>
      <c r="C28" s="1">
        <f t="shared" si="1"/>
        <v>82.037215849999995</v>
      </c>
      <c r="D28" s="1">
        <f t="shared" si="2"/>
        <v>15.603635924999788</v>
      </c>
      <c r="E28" s="1">
        <f t="shared" si="3"/>
        <v>337.16272471405495</v>
      </c>
      <c r="F28">
        <v>9.92</v>
      </c>
      <c r="K28" s="1">
        <v>0.23461136483557929</v>
      </c>
      <c r="L28" t="s">
        <v>17</v>
      </c>
      <c r="M28" s="1">
        <v>9.3781926084048237</v>
      </c>
      <c r="P28" t="s">
        <v>17</v>
      </c>
      <c r="Q28">
        <v>0.67752080243658541</v>
      </c>
      <c r="S28" t="s">
        <v>44</v>
      </c>
      <c r="T28">
        <v>76.418551780000001</v>
      </c>
    </row>
    <row r="29" spans="1:20" x14ac:dyDescent="0.3">
      <c r="A29" t="s">
        <v>17</v>
      </c>
      <c r="B29" s="1">
        <f t="shared" si="0"/>
        <v>0.67752080243658541</v>
      </c>
      <c r="C29" s="1">
        <f t="shared" si="1"/>
        <v>0</v>
      </c>
      <c r="D29" s="1">
        <f t="shared" si="2"/>
        <v>9.3781926084048237</v>
      </c>
      <c r="E29" s="1">
        <f t="shared" si="3"/>
        <v>234.61136483557928</v>
      </c>
      <c r="F29">
        <v>0.21</v>
      </c>
      <c r="K29" s="1">
        <v>0.2563607773311446</v>
      </c>
      <c r="L29" t="s">
        <v>63</v>
      </c>
      <c r="M29" s="1">
        <v>27.348911635063878</v>
      </c>
      <c r="P29" t="s">
        <v>63</v>
      </c>
      <c r="Q29">
        <v>11.586086969243034</v>
      </c>
      <c r="S29" t="s">
        <v>36</v>
      </c>
      <c r="T29">
        <v>33.79688754</v>
      </c>
    </row>
    <row r="30" spans="1:20" x14ac:dyDescent="0.3">
      <c r="A30" t="s">
        <v>63</v>
      </c>
      <c r="B30" s="1">
        <f t="shared" si="0"/>
        <v>11.586086969243034</v>
      </c>
      <c r="C30" s="1">
        <f t="shared" si="1"/>
        <v>89.111282340000002</v>
      </c>
      <c r="D30" s="1">
        <f t="shared" si="2"/>
        <v>27.348911635063878</v>
      </c>
      <c r="E30" s="1">
        <f t="shared" si="3"/>
        <v>256.36077733114462</v>
      </c>
      <c r="F30">
        <v>85.72</v>
      </c>
      <c r="K30" s="1">
        <v>0.36165960832166438</v>
      </c>
      <c r="L30" t="s">
        <v>18</v>
      </c>
      <c r="M30" s="1">
        <v>38.289040858211635</v>
      </c>
      <c r="P30" t="s">
        <v>18</v>
      </c>
      <c r="Q30">
        <v>0.86354754820199187</v>
      </c>
      <c r="S30" t="s">
        <v>43</v>
      </c>
      <c r="T30">
        <v>0.35174381300000002</v>
      </c>
    </row>
    <row r="31" spans="1:20" x14ac:dyDescent="0.3">
      <c r="A31" t="s">
        <v>18</v>
      </c>
      <c r="B31" s="1">
        <f t="shared" si="0"/>
        <v>0.86354754820199187</v>
      </c>
      <c r="C31" s="1">
        <f t="shared" si="1"/>
        <v>0</v>
      </c>
      <c r="D31" s="1">
        <f t="shared" si="2"/>
        <v>38.289040858211635</v>
      </c>
      <c r="E31" s="1">
        <f t="shared" si="3"/>
        <v>361.65960832166439</v>
      </c>
      <c r="F31">
        <v>11.12</v>
      </c>
      <c r="K31" s="1">
        <v>0.38675922782350103</v>
      </c>
      <c r="L31" t="s">
        <v>19</v>
      </c>
      <c r="M31" s="1">
        <v>45.04071922067245</v>
      </c>
      <c r="P31" t="s">
        <v>19</v>
      </c>
      <c r="Q31">
        <v>15.97730138528148</v>
      </c>
      <c r="S31" t="s">
        <v>37</v>
      </c>
      <c r="T31">
        <v>6.1307115220000004</v>
      </c>
    </row>
    <row r="32" spans="1:20" x14ac:dyDescent="0.3">
      <c r="A32" t="s">
        <v>19</v>
      </c>
      <c r="B32" s="1">
        <f t="shared" si="0"/>
        <v>15.97730138528148</v>
      </c>
      <c r="C32" s="1">
        <f t="shared" si="1"/>
        <v>32.653645040000001</v>
      </c>
      <c r="D32" s="1">
        <f t="shared" si="2"/>
        <v>45.04071922067245</v>
      </c>
      <c r="E32" s="1">
        <f t="shared" si="3"/>
        <v>386.75922782350102</v>
      </c>
      <c r="F32">
        <v>16.100000000000001</v>
      </c>
      <c r="K32" s="1">
        <v>0.15748467005076142</v>
      </c>
      <c r="L32" t="s">
        <v>20</v>
      </c>
      <c r="M32" s="1">
        <v>36.28525437532258</v>
      </c>
      <c r="P32" t="s">
        <v>20</v>
      </c>
      <c r="Q32">
        <v>11.922397730768289</v>
      </c>
      <c r="S32" t="s">
        <v>38</v>
      </c>
      <c r="T32">
        <v>8.885612278</v>
      </c>
    </row>
    <row r="33" spans="1:20" x14ac:dyDescent="0.3">
      <c r="A33" t="s">
        <v>20</v>
      </c>
      <c r="B33" s="1">
        <f t="shared" si="0"/>
        <v>11.922397730768289</v>
      </c>
      <c r="C33" s="1">
        <f t="shared" si="1"/>
        <v>75.11176184</v>
      </c>
      <c r="D33" s="1">
        <f t="shared" si="2"/>
        <v>36.28525437532258</v>
      </c>
      <c r="E33" s="1">
        <f t="shared" si="3"/>
        <v>157.48467005076142</v>
      </c>
      <c r="F33">
        <v>13.8</v>
      </c>
      <c r="K33" s="1">
        <v>0.5536143736805067</v>
      </c>
      <c r="L33" t="s">
        <v>72</v>
      </c>
      <c r="M33" s="1">
        <v>66.910126176578572</v>
      </c>
      <c r="P33" t="s">
        <v>72</v>
      </c>
      <c r="Q33">
        <v>58.456973075963504</v>
      </c>
      <c r="S33" t="s">
        <v>65</v>
      </c>
      <c r="T33">
        <v>14.39727506</v>
      </c>
    </row>
    <row r="34" spans="1:20" x14ac:dyDescent="0.3">
      <c r="A34" t="s">
        <v>72</v>
      </c>
      <c r="B34" s="1">
        <f t="shared" si="0"/>
        <v>58.456973075963504</v>
      </c>
      <c r="C34" s="1">
        <f t="shared" si="1"/>
        <v>78.814075290000005</v>
      </c>
      <c r="D34" s="1">
        <f t="shared" si="2"/>
        <v>66.910126176578572</v>
      </c>
      <c r="E34" s="1">
        <f t="shared" si="3"/>
        <v>553.61437368050667</v>
      </c>
      <c r="F34">
        <v>7.04</v>
      </c>
      <c r="K34" s="1">
        <v>0.12737172238320738</v>
      </c>
      <c r="L34" t="s">
        <v>21</v>
      </c>
      <c r="M34" s="1">
        <v>53.848999017328005</v>
      </c>
      <c r="P34" t="s">
        <v>21</v>
      </c>
      <c r="Q34">
        <v>16.58637624747778</v>
      </c>
      <c r="S34" t="s">
        <v>30</v>
      </c>
      <c r="T34">
        <v>67.182065379999997</v>
      </c>
    </row>
    <row r="35" spans="1:20" x14ac:dyDescent="0.3">
      <c r="A35" t="s">
        <v>21</v>
      </c>
      <c r="B35" s="1">
        <f t="shared" si="0"/>
        <v>16.58637624747778</v>
      </c>
      <c r="C35" s="1">
        <f t="shared" si="1"/>
        <v>38.619727099999999</v>
      </c>
      <c r="D35" s="1">
        <f t="shared" si="2"/>
        <v>53.848999017328005</v>
      </c>
      <c r="E35" s="1">
        <f t="shared" si="3"/>
        <v>127.37172238320737</v>
      </c>
      <c r="F35">
        <v>18.32</v>
      </c>
      <c r="K35" s="1">
        <v>6.9410371979364713E-2</v>
      </c>
      <c r="L35" t="s">
        <v>22</v>
      </c>
      <c r="M35" s="1">
        <v>37.231092395360655</v>
      </c>
      <c r="P35" t="s">
        <v>22</v>
      </c>
      <c r="Q35">
        <v>14.472563174371796</v>
      </c>
      <c r="S35" t="s">
        <v>29</v>
      </c>
      <c r="T35">
        <v>94.556103910000004</v>
      </c>
    </row>
    <row r="36" spans="1:20" x14ac:dyDescent="0.3">
      <c r="A36" t="s">
        <v>22</v>
      </c>
      <c r="B36" s="1">
        <f t="shared" si="0"/>
        <v>14.472563174371796</v>
      </c>
      <c r="C36" s="1">
        <f t="shared" si="1"/>
        <v>35.221518490000001</v>
      </c>
      <c r="D36" s="1">
        <f t="shared" si="2"/>
        <v>37.231092395360655</v>
      </c>
      <c r="E36" s="1">
        <f t="shared" si="3"/>
        <v>69.410371979364712</v>
      </c>
      <c r="F36">
        <v>29.8</v>
      </c>
      <c r="K36" s="1">
        <v>0.12376957922287093</v>
      </c>
      <c r="L36" t="s">
        <v>23</v>
      </c>
      <c r="M36" s="1">
        <v>45.564077121112909</v>
      </c>
      <c r="P36" t="s">
        <v>23</v>
      </c>
      <c r="Q36">
        <v>17.988085765925639</v>
      </c>
      <c r="S36" t="s">
        <v>33</v>
      </c>
      <c r="T36">
        <v>88.011345649999996</v>
      </c>
    </row>
    <row r="37" spans="1:20" x14ac:dyDescent="0.3">
      <c r="A37" t="s">
        <v>23</v>
      </c>
      <c r="B37" s="1">
        <f t="shared" si="0"/>
        <v>17.988085765925639</v>
      </c>
      <c r="C37" s="1">
        <f t="shared" si="1"/>
        <v>59.055943319999997</v>
      </c>
      <c r="D37" s="1">
        <f t="shared" si="2"/>
        <v>45.564077121112909</v>
      </c>
      <c r="E37" s="1">
        <f t="shared" si="3"/>
        <v>123.76957922287093</v>
      </c>
      <c r="F37">
        <v>8.3800000000000008</v>
      </c>
      <c r="K37" s="1">
        <v>4.0537652550475221E-3</v>
      </c>
      <c r="L37" t="s">
        <v>73</v>
      </c>
      <c r="M37" s="1">
        <v>40.857153812340073</v>
      </c>
      <c r="P37" t="s">
        <v>73</v>
      </c>
      <c r="Q37">
        <v>7.4258200230379741</v>
      </c>
      <c r="S37" t="s">
        <v>32</v>
      </c>
      <c r="T37">
        <v>99.99841447</v>
      </c>
    </row>
    <row r="38" spans="1:20" x14ac:dyDescent="0.3">
      <c r="A38" t="s">
        <v>73</v>
      </c>
      <c r="B38" s="1">
        <f t="shared" si="0"/>
        <v>7.4258200230379741</v>
      </c>
      <c r="C38" s="1">
        <f t="shared" si="1"/>
        <v>20.402945219999999</v>
      </c>
      <c r="D38" s="1">
        <f t="shared" si="2"/>
        <v>40.857153812340073</v>
      </c>
      <c r="E38" s="1">
        <f t="shared" si="3"/>
        <v>4.0537652550475221</v>
      </c>
      <c r="F38">
        <v>0</v>
      </c>
      <c r="K38" s="1">
        <v>1.7154622745798049</v>
      </c>
      <c r="L38" t="s">
        <v>24</v>
      </c>
      <c r="M38" s="1">
        <v>49.512283570317663</v>
      </c>
      <c r="P38" t="s">
        <v>24</v>
      </c>
      <c r="Q38">
        <v>31.961314177946448</v>
      </c>
      <c r="S38" t="s">
        <v>64</v>
      </c>
      <c r="T38">
        <v>90.53536373</v>
      </c>
    </row>
    <row r="39" spans="1:20" x14ac:dyDescent="0.3">
      <c r="A39" t="s">
        <v>24</v>
      </c>
      <c r="B39" s="1">
        <f t="shared" si="0"/>
        <v>31.961314177946448</v>
      </c>
      <c r="C39" s="1">
        <f t="shared" si="1"/>
        <v>72.798406589999999</v>
      </c>
      <c r="D39" s="1">
        <f t="shared" si="2"/>
        <v>49.512283570317663</v>
      </c>
      <c r="E39" s="1">
        <f t="shared" si="3"/>
        <v>1715.4622745798049</v>
      </c>
      <c r="F39">
        <v>0.36</v>
      </c>
      <c r="K39" s="1">
        <v>0.19653680932141346</v>
      </c>
      <c r="L39" t="s">
        <v>74</v>
      </c>
      <c r="M39" s="1">
        <v>82.547355360453082</v>
      </c>
      <c r="P39" t="s">
        <v>74</v>
      </c>
      <c r="Q39">
        <v>64.728407664213833</v>
      </c>
      <c r="S39" t="s">
        <v>75</v>
      </c>
      <c r="T39">
        <v>55.634479050000003</v>
      </c>
    </row>
    <row r="40" spans="1:20" x14ac:dyDescent="0.3">
      <c r="A40" t="s">
        <v>74</v>
      </c>
      <c r="B40" s="1">
        <f t="shared" si="0"/>
        <v>64.728407664213833</v>
      </c>
      <c r="C40" s="1">
        <f t="shared" si="1"/>
        <v>83.891704779999998</v>
      </c>
      <c r="D40" s="1">
        <f t="shared" si="2"/>
        <v>82.547355360453082</v>
      </c>
      <c r="E40" s="1">
        <f t="shared" si="3"/>
        <v>196.53680932141347</v>
      </c>
      <c r="F40">
        <v>5.05</v>
      </c>
      <c r="K40" s="1">
        <v>0.41457836293055916</v>
      </c>
      <c r="L40" t="s">
        <v>81</v>
      </c>
      <c r="M40" s="1">
        <v>30.444945807033069</v>
      </c>
      <c r="P40" t="s">
        <v>81</v>
      </c>
      <c r="Q40">
        <v>29.449006938665246</v>
      </c>
      <c r="S40" t="s">
        <v>66</v>
      </c>
      <c r="T40">
        <v>35.337413060000003</v>
      </c>
    </row>
    <row r="41" spans="1:20" x14ac:dyDescent="0.3">
      <c r="A41" t="s">
        <v>81</v>
      </c>
      <c r="B41" s="1">
        <f t="shared" si="0"/>
        <v>29.449006938665246</v>
      </c>
      <c r="C41" s="1">
        <f t="shared" si="1"/>
        <v>89.54692833</v>
      </c>
      <c r="D41" s="1">
        <f t="shared" si="2"/>
        <v>30.444945807033069</v>
      </c>
      <c r="E41" s="1">
        <f t="shared" si="3"/>
        <v>414.57836293055914</v>
      </c>
      <c r="F41">
        <v>61.33</v>
      </c>
      <c r="K41" s="1">
        <v>0.21890690025931295</v>
      </c>
      <c r="L41" t="s">
        <v>68</v>
      </c>
      <c r="M41" s="1">
        <v>70.857897862307482</v>
      </c>
      <c r="P41" t="s">
        <v>68</v>
      </c>
      <c r="Q41">
        <v>21.938495127163982</v>
      </c>
      <c r="S41" t="s">
        <v>82</v>
      </c>
      <c r="T41">
        <v>39.459043880000003</v>
      </c>
    </row>
    <row r="42" spans="1:20" x14ac:dyDescent="0.3">
      <c r="A42" t="s">
        <v>68</v>
      </c>
      <c r="B42" s="1">
        <f t="shared" si="0"/>
        <v>21.938495127163982</v>
      </c>
      <c r="C42" s="1">
        <f t="shared" si="1"/>
        <v>35.398092859999998</v>
      </c>
      <c r="D42" s="1">
        <f t="shared" si="2"/>
        <v>70.857897862307482</v>
      </c>
      <c r="E42" s="1">
        <f t="shared" si="3"/>
        <v>218.90690025931295</v>
      </c>
      <c r="F42">
        <v>16.22</v>
      </c>
      <c r="K42" s="1">
        <v>0.15713731095483219</v>
      </c>
      <c r="L42" t="s">
        <v>25</v>
      </c>
      <c r="M42" s="1">
        <v>81.485920948361681</v>
      </c>
      <c r="P42" t="s">
        <v>25</v>
      </c>
      <c r="Q42">
        <v>43.631517920073406</v>
      </c>
      <c r="S42" t="s">
        <v>60</v>
      </c>
      <c r="T42">
        <v>13.14741151</v>
      </c>
    </row>
    <row r="43" spans="1:20" x14ac:dyDescent="0.3">
      <c r="A43" t="s">
        <v>25</v>
      </c>
      <c r="B43" s="1">
        <f t="shared" si="0"/>
        <v>43.631517920073406</v>
      </c>
      <c r="C43" s="1">
        <f t="shared" si="1"/>
        <v>57.164711339999997</v>
      </c>
      <c r="D43" s="1">
        <f t="shared" si="2"/>
        <v>81.485920948361681</v>
      </c>
      <c r="E43" s="1">
        <f t="shared" si="3"/>
        <v>157.13731095483217</v>
      </c>
      <c r="F43">
        <v>13.89</v>
      </c>
      <c r="K43" s="1">
        <v>0.21298326745718044</v>
      </c>
      <c r="L43" t="s">
        <v>26</v>
      </c>
      <c r="M43" s="1">
        <v>29.974889677996035</v>
      </c>
      <c r="P43" t="s">
        <v>26</v>
      </c>
      <c r="Q43">
        <v>13.583182892553364</v>
      </c>
      <c r="S43" t="s">
        <v>76</v>
      </c>
      <c r="T43">
        <v>78.980023020000004</v>
      </c>
    </row>
    <row r="44" spans="1:20" x14ac:dyDescent="0.3">
      <c r="A44" t="s">
        <v>26</v>
      </c>
      <c r="B44" s="1">
        <f t="shared" si="0"/>
        <v>13.583182892553364</v>
      </c>
      <c r="C44" s="1">
        <f t="shared" si="1"/>
        <v>95.555089519999996</v>
      </c>
      <c r="D44" s="1">
        <f t="shared" si="2"/>
        <v>29.974889677996035</v>
      </c>
      <c r="E44" s="1">
        <f t="shared" si="3"/>
        <v>212.98326745718043</v>
      </c>
      <c r="F44">
        <v>44.05</v>
      </c>
      <c r="K44" s="1">
        <v>0.53075983426660966</v>
      </c>
      <c r="L44" t="s">
        <v>27</v>
      </c>
      <c r="M44" s="1">
        <v>66.481836159645269</v>
      </c>
      <c r="P44" t="s">
        <v>27</v>
      </c>
      <c r="Q44">
        <v>67.406632493939071</v>
      </c>
      <c r="S44" t="s">
        <v>58</v>
      </c>
      <c r="T44">
        <v>52.562207620000002</v>
      </c>
    </row>
    <row r="45" spans="1:20" x14ac:dyDescent="0.3">
      <c r="A45" t="s">
        <v>27</v>
      </c>
      <c r="B45" s="1">
        <f t="shared" si="0"/>
        <v>67.406632493939071</v>
      </c>
      <c r="C45" s="1">
        <f t="shared" si="1"/>
        <v>99.587342039999996</v>
      </c>
      <c r="D45" s="1">
        <f t="shared" si="2"/>
        <v>66.481836159645269</v>
      </c>
      <c r="E45" s="1">
        <f t="shared" si="3"/>
        <v>530.75983426660969</v>
      </c>
      <c r="F45">
        <v>4.9000000000000004</v>
      </c>
      <c r="K45" s="1">
        <v>0.54563856886744388</v>
      </c>
      <c r="L45" t="s">
        <v>28</v>
      </c>
      <c r="M45" s="1">
        <v>69.04122770562563</v>
      </c>
      <c r="P45" t="s">
        <v>28</v>
      </c>
      <c r="Q45">
        <v>57.334207344879239</v>
      </c>
      <c r="S45" t="s">
        <v>59</v>
      </c>
      <c r="T45">
        <v>66.348183030000001</v>
      </c>
    </row>
    <row r="46" spans="1:20" x14ac:dyDescent="0.3">
      <c r="A46" t="s">
        <v>28</v>
      </c>
      <c r="B46" s="1">
        <f t="shared" si="0"/>
        <v>57.334207344879239</v>
      </c>
      <c r="C46" s="1">
        <f t="shared" si="1"/>
        <v>81.899298239999993</v>
      </c>
      <c r="D46" s="1">
        <f t="shared" si="2"/>
        <v>69.04122770562563</v>
      </c>
      <c r="E46" s="1">
        <f t="shared" si="3"/>
        <v>545.63856886744384</v>
      </c>
      <c r="F46">
        <v>2.27</v>
      </c>
      <c r="K46" s="1">
        <v>0.6184934113877566</v>
      </c>
      <c r="L46" t="s">
        <v>29</v>
      </c>
      <c r="M46" s="1">
        <v>87.871774161763568</v>
      </c>
      <c r="P46" t="s">
        <v>29</v>
      </c>
      <c r="Q46">
        <v>84.821536773566649</v>
      </c>
      <c r="S46" t="s">
        <v>48</v>
      </c>
      <c r="T46">
        <v>16.490330740000001</v>
      </c>
    </row>
    <row r="47" spans="1:20" x14ac:dyDescent="0.3">
      <c r="A47" t="s">
        <v>29</v>
      </c>
      <c r="B47" s="1">
        <f t="shared" si="0"/>
        <v>84.821536773566649</v>
      </c>
      <c r="C47" s="1">
        <f t="shared" si="1"/>
        <v>94.556103910000004</v>
      </c>
      <c r="D47" s="1">
        <f t="shared" si="2"/>
        <v>87.871774161763568</v>
      </c>
      <c r="E47" s="1">
        <f t="shared" si="3"/>
        <v>618.49341138775662</v>
      </c>
      <c r="F47">
        <v>7.88</v>
      </c>
      <c r="K47" s="1">
        <v>0.30107739614074913</v>
      </c>
      <c r="L47" t="s">
        <v>30</v>
      </c>
      <c r="M47" s="1">
        <v>52.834562921078543</v>
      </c>
      <c r="P47" t="s">
        <v>30</v>
      </c>
      <c r="Q47">
        <v>20.999961017351211</v>
      </c>
      <c r="S47" t="s">
        <v>55</v>
      </c>
      <c r="T47">
        <v>0</v>
      </c>
    </row>
    <row r="48" spans="1:20" x14ac:dyDescent="0.3">
      <c r="A48" t="s">
        <v>30</v>
      </c>
      <c r="B48" s="1">
        <f t="shared" si="0"/>
        <v>20.999961017351211</v>
      </c>
      <c r="C48" s="1">
        <f t="shared" si="1"/>
        <v>67.182065379999997</v>
      </c>
      <c r="D48" s="1">
        <f t="shared" si="2"/>
        <v>52.834562921078543</v>
      </c>
      <c r="E48" s="1">
        <f t="shared" si="3"/>
        <v>301.07739614074916</v>
      </c>
      <c r="F48">
        <v>7.98</v>
      </c>
      <c r="K48" s="1">
        <v>0.99947976995342713</v>
      </c>
      <c r="L48" t="s">
        <v>31</v>
      </c>
      <c r="M48" s="1">
        <v>10.771313751941392</v>
      </c>
      <c r="P48" t="s">
        <v>31</v>
      </c>
      <c r="Q48">
        <v>0</v>
      </c>
      <c r="S48" t="s">
        <v>53</v>
      </c>
      <c r="T48">
        <v>55.601304419999998</v>
      </c>
    </row>
    <row r="49" spans="1:20" x14ac:dyDescent="0.3">
      <c r="A49" t="s">
        <v>31</v>
      </c>
      <c r="B49" s="1">
        <f t="shared" si="0"/>
        <v>0</v>
      </c>
      <c r="C49" s="1">
        <f t="shared" si="1"/>
        <v>0</v>
      </c>
      <c r="D49" s="1">
        <f t="shared" si="2"/>
        <v>10.771313751941392</v>
      </c>
      <c r="E49" s="1">
        <f t="shared" si="3"/>
        <v>999.47976995342708</v>
      </c>
      <c r="F49">
        <v>7.78</v>
      </c>
      <c r="K49" s="1">
        <v>0.14252853537045723</v>
      </c>
      <c r="L49" t="s">
        <v>64</v>
      </c>
      <c r="M49" s="1">
        <v>35.93074917549729</v>
      </c>
      <c r="P49" t="s">
        <v>64</v>
      </c>
      <c r="Q49">
        <v>17.949541160191433</v>
      </c>
      <c r="S49" t="s">
        <v>47</v>
      </c>
      <c r="T49">
        <v>32.282326419999997</v>
      </c>
    </row>
    <row r="50" spans="1:20" x14ac:dyDescent="0.3">
      <c r="A50" t="s">
        <v>64</v>
      </c>
      <c r="B50" s="1">
        <f t="shared" si="0"/>
        <v>17.949541160191433</v>
      </c>
      <c r="C50" s="1">
        <f t="shared" si="1"/>
        <v>90.53536373</v>
      </c>
      <c r="D50" s="1">
        <f t="shared" si="2"/>
        <v>35.93074917549729</v>
      </c>
      <c r="E50" s="1">
        <f t="shared" si="3"/>
        <v>142.52853537045723</v>
      </c>
      <c r="F50">
        <v>26.1</v>
      </c>
      <c r="K50" s="1">
        <v>0.41832068054003235</v>
      </c>
      <c r="L50" t="s">
        <v>32</v>
      </c>
      <c r="M50" s="1">
        <v>45.920099070753736</v>
      </c>
      <c r="P50" t="s">
        <v>32</v>
      </c>
      <c r="Q50">
        <v>16.663068137874895</v>
      </c>
      <c r="S50" t="s">
        <v>56</v>
      </c>
      <c r="T50">
        <v>21.40451594</v>
      </c>
    </row>
    <row r="51" spans="1:20" x14ac:dyDescent="0.3">
      <c r="A51" t="s">
        <v>32</v>
      </c>
      <c r="B51" s="1">
        <f t="shared" si="0"/>
        <v>16.663068137874895</v>
      </c>
      <c r="C51" s="1">
        <f t="shared" si="1"/>
        <v>99.99841447</v>
      </c>
      <c r="D51" s="1">
        <f t="shared" si="2"/>
        <v>45.920099070753736</v>
      </c>
      <c r="E51" s="1">
        <f t="shared" si="3"/>
        <v>418.32068054003236</v>
      </c>
      <c r="F51">
        <v>98.15</v>
      </c>
      <c r="K51" s="1">
        <v>0.91063538849905923</v>
      </c>
      <c r="L51" t="s">
        <v>33</v>
      </c>
      <c r="M51" s="1">
        <v>34.006417005618843</v>
      </c>
      <c r="P51" t="s">
        <v>33</v>
      </c>
      <c r="Q51">
        <v>10.508047348889237</v>
      </c>
      <c r="S51" t="s">
        <v>52</v>
      </c>
      <c r="T51">
        <v>21.208758240000002</v>
      </c>
    </row>
    <row r="52" spans="1:20" x14ac:dyDescent="0.3">
      <c r="A52" t="s">
        <v>33</v>
      </c>
      <c r="B52" s="1">
        <f t="shared" si="0"/>
        <v>10.508047348889237</v>
      </c>
      <c r="C52" s="1">
        <f t="shared" si="1"/>
        <v>88.011345649999996</v>
      </c>
      <c r="D52" s="1">
        <f t="shared" si="2"/>
        <v>34.006417005618843</v>
      </c>
      <c r="E52" s="1">
        <f t="shared" si="3"/>
        <v>910.63538849905922</v>
      </c>
      <c r="F52">
        <v>5.61</v>
      </c>
      <c r="K52" s="1">
        <v>1.7310688011363657</v>
      </c>
      <c r="L52" t="s">
        <v>69</v>
      </c>
      <c r="M52" s="1">
        <v>4.8664606847296712</v>
      </c>
      <c r="P52" t="s">
        <v>69</v>
      </c>
      <c r="Q52">
        <v>0</v>
      </c>
      <c r="S52" t="s">
        <v>49</v>
      </c>
      <c r="T52">
        <v>28.167669140000001</v>
      </c>
    </row>
    <row r="53" spans="1:20" x14ac:dyDescent="0.3">
      <c r="A53" t="s">
        <v>69</v>
      </c>
      <c r="B53" s="1">
        <f t="shared" si="0"/>
        <v>0</v>
      </c>
      <c r="C53" s="1">
        <f t="shared" si="1"/>
        <v>0</v>
      </c>
      <c r="D53" s="1">
        <f t="shared" si="2"/>
        <v>4.8664606847296712</v>
      </c>
      <c r="E53" s="1">
        <f t="shared" si="3"/>
        <v>1731.0688011363657</v>
      </c>
      <c r="F53">
        <v>4.41</v>
      </c>
      <c r="K53" s="1">
        <v>1.588298626987737</v>
      </c>
      <c r="L53" t="s">
        <v>34</v>
      </c>
      <c r="M53" s="1">
        <v>2.5400315410065386</v>
      </c>
      <c r="P53" t="s">
        <v>34</v>
      </c>
      <c r="Q53">
        <v>0</v>
      </c>
      <c r="S53" t="s">
        <v>57</v>
      </c>
      <c r="T53">
        <v>20.172389450000001</v>
      </c>
    </row>
    <row r="54" spans="1:20" x14ac:dyDescent="0.3">
      <c r="A54" t="s">
        <v>34</v>
      </c>
      <c r="B54" s="1">
        <f t="shared" si="0"/>
        <v>0</v>
      </c>
      <c r="C54" s="1">
        <f t="shared" si="1"/>
        <v>0</v>
      </c>
      <c r="D54" s="1">
        <f t="shared" si="2"/>
        <v>2.5400315410065386</v>
      </c>
      <c r="E54" s="1">
        <f t="shared" si="3"/>
        <v>1588.298626987737</v>
      </c>
      <c r="F54">
        <v>4.04</v>
      </c>
      <c r="K54" s="1">
        <v>0.57980547792062631</v>
      </c>
      <c r="L54" t="s">
        <v>35</v>
      </c>
      <c r="M54" s="1">
        <v>2.1981924091399438</v>
      </c>
      <c r="P54" t="s">
        <v>35</v>
      </c>
      <c r="Q54">
        <v>0</v>
      </c>
      <c r="S54" t="s">
        <v>50</v>
      </c>
      <c r="T54">
        <v>54.852023490000001</v>
      </c>
    </row>
    <row r="55" spans="1:20" x14ac:dyDescent="0.3">
      <c r="A55" t="s">
        <v>35</v>
      </c>
      <c r="B55" s="1">
        <f t="shared" si="0"/>
        <v>0</v>
      </c>
      <c r="C55" s="1">
        <f t="shared" si="1"/>
        <v>0</v>
      </c>
      <c r="D55" s="1">
        <f t="shared" si="2"/>
        <v>2.1981924091399438</v>
      </c>
      <c r="E55" s="1">
        <f t="shared" si="3"/>
        <v>579.80547792062634</v>
      </c>
      <c r="F55">
        <v>9.19</v>
      </c>
      <c r="K55" s="1">
        <v>0.13041526162483907</v>
      </c>
      <c r="L55" t="s">
        <v>75</v>
      </c>
      <c r="M55" s="1">
        <v>59.358807832155733</v>
      </c>
      <c r="P55" t="s">
        <v>75</v>
      </c>
      <c r="Q55">
        <v>40.233719395219111</v>
      </c>
      <c r="S55" t="s">
        <v>54</v>
      </c>
      <c r="T55">
        <v>8.4968498360000009</v>
      </c>
    </row>
    <row r="56" spans="1:20" x14ac:dyDescent="0.3">
      <c r="A56" t="s">
        <v>75</v>
      </c>
      <c r="B56" s="1">
        <f t="shared" si="0"/>
        <v>40.233719395219111</v>
      </c>
      <c r="C56" s="1">
        <f t="shared" si="1"/>
        <v>55.634479050000003</v>
      </c>
      <c r="D56" s="1">
        <f t="shared" si="2"/>
        <v>59.358807832155733</v>
      </c>
      <c r="E56" s="1">
        <f t="shared" si="3"/>
        <v>130.41526162483908</v>
      </c>
      <c r="F56">
        <v>1.23</v>
      </c>
      <c r="K56" s="1">
        <v>0.95777441657282092</v>
      </c>
      <c r="L56" t="s">
        <v>36</v>
      </c>
      <c r="M56" s="1">
        <v>54.348784218878144</v>
      </c>
      <c r="P56" t="s">
        <v>36</v>
      </c>
      <c r="Q56">
        <v>13.393829273489519</v>
      </c>
      <c r="S56" t="s">
        <v>70</v>
      </c>
      <c r="T56">
        <v>72.533018620000007</v>
      </c>
    </row>
    <row r="57" spans="1:20" x14ac:dyDescent="0.3">
      <c r="A57" t="s">
        <v>36</v>
      </c>
      <c r="B57" s="1">
        <f t="shared" si="0"/>
        <v>13.393829273489519</v>
      </c>
      <c r="C57" s="1">
        <f t="shared" si="1"/>
        <v>33.79688754</v>
      </c>
      <c r="D57" s="1">
        <f t="shared" si="2"/>
        <v>54.348784218878144</v>
      </c>
      <c r="E57" s="1">
        <f t="shared" si="3"/>
        <v>957.77441657282088</v>
      </c>
      <c r="F57">
        <v>2.4500000000000002</v>
      </c>
      <c r="K57" s="1">
        <v>7.5159591808896989E-2</v>
      </c>
      <c r="L57" t="s">
        <v>37</v>
      </c>
      <c r="M57" s="1">
        <v>65.300604892699894</v>
      </c>
      <c r="P57" t="s">
        <v>37</v>
      </c>
      <c r="Q57">
        <v>5.9221124934240352</v>
      </c>
      <c r="S57" t="s">
        <v>46</v>
      </c>
      <c r="T57">
        <v>24.1381707</v>
      </c>
    </row>
    <row r="58" spans="1:20" x14ac:dyDescent="0.3">
      <c r="A58" t="s">
        <v>37</v>
      </c>
      <c r="B58" s="1">
        <f t="shared" si="0"/>
        <v>5.9221124934240352</v>
      </c>
      <c r="C58" s="1">
        <f t="shared" si="1"/>
        <v>6.1307115220000004</v>
      </c>
      <c r="D58" s="1">
        <f t="shared" si="2"/>
        <v>65.300604892699894</v>
      </c>
      <c r="E58" s="1">
        <f t="shared" si="3"/>
        <v>75.159591808896991</v>
      </c>
      <c r="F58">
        <v>77.41</v>
      </c>
      <c r="K58" s="1">
        <v>0.33192428309153399</v>
      </c>
      <c r="L58" t="s">
        <v>38</v>
      </c>
      <c r="M58" s="1">
        <v>69.861806398778015</v>
      </c>
      <c r="P58" t="s">
        <v>38</v>
      </c>
      <c r="Q58">
        <v>5.3634059347399088</v>
      </c>
      <c r="S58" t="s">
        <v>51</v>
      </c>
      <c r="T58">
        <v>4.5792657349999999</v>
      </c>
    </row>
    <row r="59" spans="1:20" x14ac:dyDescent="0.3">
      <c r="A59" t="s">
        <v>38</v>
      </c>
      <c r="B59" s="1">
        <f t="shared" si="0"/>
        <v>5.3634059347399088</v>
      </c>
      <c r="C59" s="1">
        <f t="shared" si="1"/>
        <v>8.885612278</v>
      </c>
      <c r="D59" s="1">
        <f t="shared" si="2"/>
        <v>69.861806398778015</v>
      </c>
      <c r="E59" s="1">
        <f t="shared" si="3"/>
        <v>331.92428309153399</v>
      </c>
      <c r="F59">
        <v>20.3</v>
      </c>
      <c r="K59" s="1">
        <v>0.63094846126580262</v>
      </c>
      <c r="L59" t="s">
        <v>39</v>
      </c>
      <c r="M59" s="1">
        <v>48.927489441716098</v>
      </c>
      <c r="P59" t="s">
        <v>39</v>
      </c>
      <c r="Q59">
        <v>22.6204530047475</v>
      </c>
      <c r="S59" t="s">
        <v>6</v>
      </c>
      <c r="T59">
        <v>36.13656615</v>
      </c>
    </row>
    <row r="60" spans="1:20" x14ac:dyDescent="0.3">
      <c r="A60" t="s">
        <v>39</v>
      </c>
      <c r="B60" s="1">
        <f t="shared" si="0"/>
        <v>22.6204530047475</v>
      </c>
      <c r="C60" s="1">
        <f t="shared" si="1"/>
        <v>59.15956748</v>
      </c>
      <c r="D60" s="1">
        <f t="shared" si="2"/>
        <v>48.927489441716098</v>
      </c>
      <c r="E60" s="1">
        <f t="shared" si="3"/>
        <v>630.94846126580262</v>
      </c>
      <c r="F60">
        <v>1.6</v>
      </c>
      <c r="K60" s="1">
        <v>2.695404023887388</v>
      </c>
      <c r="L60" t="s">
        <v>40</v>
      </c>
      <c r="M60" s="1">
        <v>44.738943111960502</v>
      </c>
      <c r="P60" t="s">
        <v>40</v>
      </c>
      <c r="Q60">
        <v>3.4536400549320065</v>
      </c>
      <c r="S60" t="s">
        <v>5</v>
      </c>
      <c r="T60">
        <v>100</v>
      </c>
    </row>
    <row r="61" spans="1:20" x14ac:dyDescent="0.3">
      <c r="A61" t="s">
        <v>40</v>
      </c>
      <c r="B61" s="1">
        <f t="shared" si="0"/>
        <v>3.4536400549320065</v>
      </c>
      <c r="C61" s="1">
        <f t="shared" si="1"/>
        <v>33.758072239999997</v>
      </c>
      <c r="D61" s="1">
        <f t="shared" si="2"/>
        <v>44.738943111960502</v>
      </c>
      <c r="E61" s="1">
        <f t="shared" si="3"/>
        <v>2695.4040238873881</v>
      </c>
      <c r="F61">
        <v>0</v>
      </c>
      <c r="K61" s="1">
        <v>0.340631027885265</v>
      </c>
      <c r="L61" t="s">
        <v>41</v>
      </c>
      <c r="M61" s="1">
        <v>44.535828271833658</v>
      </c>
      <c r="P61" t="s">
        <v>41</v>
      </c>
      <c r="Q61">
        <v>5.3344782377739159</v>
      </c>
      <c r="S61" t="s">
        <v>71</v>
      </c>
      <c r="T61">
        <v>28.8825489</v>
      </c>
    </row>
    <row r="62" spans="1:20" x14ac:dyDescent="0.3">
      <c r="A62" t="s">
        <v>41</v>
      </c>
      <c r="B62" s="1">
        <f t="shared" si="0"/>
        <v>5.3344782377739159</v>
      </c>
      <c r="C62" s="1">
        <f t="shared" si="1"/>
        <v>33.011295220000001</v>
      </c>
      <c r="D62" s="1">
        <f t="shared" si="2"/>
        <v>44.535828271833658</v>
      </c>
      <c r="E62" s="1">
        <f t="shared" si="3"/>
        <v>340.63102788526498</v>
      </c>
      <c r="F62">
        <v>23.73</v>
      </c>
      <c r="K62" s="1">
        <v>0.20406125093446301</v>
      </c>
      <c r="L62" t="s">
        <v>42</v>
      </c>
      <c r="M62" s="1">
        <v>54.922707470716091</v>
      </c>
      <c r="P62" t="s">
        <v>42</v>
      </c>
      <c r="Q62">
        <v>6.7706974877959709</v>
      </c>
      <c r="S62" t="s">
        <v>11</v>
      </c>
      <c r="T62">
        <v>92.19875845</v>
      </c>
    </row>
    <row r="63" spans="1:20" x14ac:dyDescent="0.3">
      <c r="A63" t="s">
        <v>42</v>
      </c>
      <c r="B63" s="1">
        <f t="shared" si="0"/>
        <v>6.7706974877959709</v>
      </c>
      <c r="C63" s="1">
        <f t="shared" si="1"/>
        <v>33.658923479999999</v>
      </c>
      <c r="D63" s="1">
        <f t="shared" si="2"/>
        <v>54.922707470716091</v>
      </c>
      <c r="E63" s="1">
        <f t="shared" si="3"/>
        <v>204.061250934463</v>
      </c>
      <c r="F63">
        <v>15.63</v>
      </c>
      <c r="K63" s="1">
        <v>0.45535862819376194</v>
      </c>
      <c r="L63" t="s">
        <v>65</v>
      </c>
      <c r="M63" s="1">
        <v>54.763049613100655</v>
      </c>
      <c r="P63" t="s">
        <v>65</v>
      </c>
      <c r="Q63">
        <v>12.30041260214648</v>
      </c>
      <c r="S63" t="s">
        <v>0</v>
      </c>
      <c r="T63">
        <v>7.297535624</v>
      </c>
    </row>
    <row r="64" spans="1:20" x14ac:dyDescent="0.3">
      <c r="A64" t="s">
        <v>65</v>
      </c>
      <c r="B64" s="1">
        <f t="shared" si="0"/>
        <v>12.30041260214648</v>
      </c>
      <c r="C64" s="1">
        <f t="shared" si="1"/>
        <v>14.39727506</v>
      </c>
      <c r="D64" s="1">
        <f t="shared" si="2"/>
        <v>54.763049613100655</v>
      </c>
      <c r="E64" s="1">
        <f t="shared" si="3"/>
        <v>455.35862819376194</v>
      </c>
      <c r="F64">
        <v>7.01</v>
      </c>
      <c r="K64" s="1">
        <v>0.12073136280408057</v>
      </c>
      <c r="L64" t="s">
        <v>43</v>
      </c>
      <c r="M64" s="1">
        <v>71.037099013333389</v>
      </c>
      <c r="P64" t="s">
        <v>43</v>
      </c>
      <c r="Q64">
        <v>0.65332209124536533</v>
      </c>
      <c r="S64" t="s">
        <v>10</v>
      </c>
      <c r="T64">
        <v>88.474868420000007</v>
      </c>
    </row>
    <row r="65" spans="1:20" x14ac:dyDescent="0.3">
      <c r="A65" t="s">
        <v>43</v>
      </c>
      <c r="B65" s="1">
        <f t="shared" si="0"/>
        <v>0.65332209124536533</v>
      </c>
      <c r="C65" s="1">
        <f t="shared" si="1"/>
        <v>0.35174381300000002</v>
      </c>
      <c r="D65" s="1">
        <f t="shared" si="2"/>
        <v>71.037099013333389</v>
      </c>
      <c r="E65" s="1">
        <f t="shared" si="3"/>
        <v>120.73136280408058</v>
      </c>
      <c r="F65">
        <v>3.96</v>
      </c>
      <c r="K65" s="1">
        <v>0.17172498918996837</v>
      </c>
      <c r="L65" t="s">
        <v>44</v>
      </c>
      <c r="M65" s="1">
        <v>63.816939864930369</v>
      </c>
      <c r="P65" t="s">
        <v>44</v>
      </c>
      <c r="Q65">
        <v>51.895915951440728</v>
      </c>
      <c r="S65" t="s">
        <v>83</v>
      </c>
      <c r="T65">
        <v>89.786635520000004</v>
      </c>
    </row>
    <row r="66" spans="1:20" x14ac:dyDescent="0.3">
      <c r="A66" t="s">
        <v>44</v>
      </c>
      <c r="B66" s="1">
        <f t="shared" si="0"/>
        <v>51.895915951440728</v>
      </c>
      <c r="C66" s="1">
        <f t="shared" si="1"/>
        <v>76.418551780000001</v>
      </c>
      <c r="D66" s="1">
        <f t="shared" si="2"/>
        <v>63.816939864930369</v>
      </c>
      <c r="E66" s="1">
        <f t="shared" si="3"/>
        <v>171.72498918996837</v>
      </c>
      <c r="F66">
        <v>0.11</v>
      </c>
      <c r="K66" s="1">
        <v>0.39839152328997057</v>
      </c>
      <c r="L66" t="s">
        <v>45</v>
      </c>
      <c r="M66" s="1">
        <v>75.144597435536582</v>
      </c>
      <c r="P66" t="s">
        <v>45</v>
      </c>
      <c r="Q66">
        <v>3.5490788695611188</v>
      </c>
      <c r="S66" t="s">
        <v>3</v>
      </c>
      <c r="T66">
        <v>62.328888970000001</v>
      </c>
    </row>
    <row r="67" spans="1:20" x14ac:dyDescent="0.3">
      <c r="A67" t="s">
        <v>45</v>
      </c>
      <c r="B67" s="1">
        <f t="shared" si="0"/>
        <v>3.5490788695611188</v>
      </c>
      <c r="C67" s="1">
        <f t="shared" si="1"/>
        <v>3.5682988290000002</v>
      </c>
      <c r="D67" s="1">
        <f t="shared" si="2"/>
        <v>75.144597435536582</v>
      </c>
      <c r="E67" s="1">
        <f t="shared" si="3"/>
        <v>398.39152328997056</v>
      </c>
      <c r="F67">
        <v>8.56</v>
      </c>
      <c r="K67" s="1">
        <v>0.45341467078117537</v>
      </c>
      <c r="L67" t="s">
        <v>46</v>
      </c>
      <c r="M67" s="1">
        <v>67.97439754473011</v>
      </c>
      <c r="P67" t="s">
        <v>46</v>
      </c>
      <c r="Q67">
        <v>17.071576026305017</v>
      </c>
      <c r="S67" t="s">
        <v>79</v>
      </c>
      <c r="T67">
        <v>0.78745990600000004</v>
      </c>
    </row>
    <row r="68" spans="1:20" x14ac:dyDescent="0.3">
      <c r="A68" t="s">
        <v>46</v>
      </c>
      <c r="B68" s="1">
        <f t="shared" ref="B68:B86" si="4">_xlfn.XLOOKUP(A68,$P$2:$P$85,$Q$2:$Q$85,0)</f>
        <v>17.071576026305017</v>
      </c>
      <c r="C68" s="1">
        <f t="shared" ref="C68:C86" si="5">_xlfn.XLOOKUP(A68,$S$2:$S$75,$T$2:$T$75,0)</f>
        <v>24.1381707</v>
      </c>
      <c r="D68" s="1">
        <f t="shared" ref="D68:D86" si="6">_xlfn.XLOOKUP(A68,$L$2:$L$85,$M$2:$M$85,0)</f>
        <v>67.97439754473011</v>
      </c>
      <c r="E68" s="1">
        <f t="shared" ref="E68:E86" si="7">K67*1000</f>
        <v>453.41467078117535</v>
      </c>
      <c r="F68">
        <v>3.28</v>
      </c>
      <c r="K68" s="1">
        <v>0.53987556099087097</v>
      </c>
      <c r="L68" t="s">
        <v>47</v>
      </c>
      <c r="M68" s="1">
        <v>54.598154222271177</v>
      </c>
      <c r="P68" t="s">
        <v>47</v>
      </c>
      <c r="Q68">
        <v>11.49796068675017</v>
      </c>
      <c r="S68" t="s">
        <v>2</v>
      </c>
      <c r="T68">
        <v>60.84390397</v>
      </c>
    </row>
    <row r="69" spans="1:20" x14ac:dyDescent="0.3">
      <c r="A69" t="s">
        <v>47</v>
      </c>
      <c r="B69" s="1">
        <f t="shared" si="4"/>
        <v>11.49796068675017</v>
      </c>
      <c r="C69" s="1">
        <f t="shared" si="5"/>
        <v>32.282326419999997</v>
      </c>
      <c r="D69" s="1">
        <f t="shared" si="6"/>
        <v>54.598154222271177</v>
      </c>
      <c r="E69" s="1">
        <f t="shared" si="7"/>
        <v>539.87556099087101</v>
      </c>
      <c r="F69">
        <v>4.87</v>
      </c>
      <c r="K69" s="1">
        <v>7.5826403364417622E-2</v>
      </c>
      <c r="L69" t="s">
        <v>48</v>
      </c>
      <c r="M69" s="1">
        <v>56.072271858055444</v>
      </c>
      <c r="P69" t="s">
        <v>48</v>
      </c>
      <c r="Q69">
        <v>7.7563189579168492</v>
      </c>
      <c r="S69" t="s">
        <v>7</v>
      </c>
      <c r="T69">
        <v>71.944796519999997</v>
      </c>
    </row>
    <row r="70" spans="1:20" x14ac:dyDescent="0.3">
      <c r="A70" t="s">
        <v>48</v>
      </c>
      <c r="B70" s="1">
        <f t="shared" si="4"/>
        <v>7.7563189579168492</v>
      </c>
      <c r="C70" s="1">
        <f t="shared" si="5"/>
        <v>16.490330740000001</v>
      </c>
      <c r="D70" s="1">
        <f t="shared" si="6"/>
        <v>56.072271858055444</v>
      </c>
      <c r="E70" s="1">
        <f t="shared" si="7"/>
        <v>75.826403364417615</v>
      </c>
      <c r="F70">
        <v>14.4</v>
      </c>
      <c r="K70" s="1">
        <v>0.70977686383778971</v>
      </c>
      <c r="L70" t="s">
        <v>49</v>
      </c>
      <c r="M70" s="1">
        <v>58.581387667240911</v>
      </c>
      <c r="P70" t="s">
        <v>49</v>
      </c>
      <c r="Q70">
        <v>11.050046806643811</v>
      </c>
      <c r="S70" t="s">
        <v>1</v>
      </c>
      <c r="T70">
        <v>17.573206599999999</v>
      </c>
    </row>
    <row r="71" spans="1:20" x14ac:dyDescent="0.3">
      <c r="A71" t="s">
        <v>49</v>
      </c>
      <c r="B71" s="1">
        <f t="shared" si="4"/>
        <v>11.050046806643811</v>
      </c>
      <c r="C71" s="1">
        <f t="shared" si="5"/>
        <v>28.167669140000001</v>
      </c>
      <c r="D71" s="1">
        <f t="shared" si="6"/>
        <v>58.581387667240911</v>
      </c>
      <c r="E71" s="1">
        <f t="shared" si="7"/>
        <v>709.77686383778973</v>
      </c>
      <c r="F71">
        <v>2.37</v>
      </c>
      <c r="K71" s="1">
        <v>0.33393273436175619</v>
      </c>
      <c r="L71" t="s">
        <v>50</v>
      </c>
      <c r="M71" s="1">
        <v>75.350466638813558</v>
      </c>
      <c r="P71" t="s">
        <v>50</v>
      </c>
      <c r="Q71">
        <v>41.863742399681939</v>
      </c>
      <c r="S71" t="s">
        <v>78</v>
      </c>
      <c r="T71">
        <v>43.109989949999999</v>
      </c>
    </row>
    <row r="72" spans="1:20" x14ac:dyDescent="0.3">
      <c r="A72" t="s">
        <v>50</v>
      </c>
      <c r="B72" s="1">
        <f t="shared" si="4"/>
        <v>41.863742399681939</v>
      </c>
      <c r="C72" s="1">
        <f t="shared" si="5"/>
        <v>54.852023490000001</v>
      </c>
      <c r="D72" s="1">
        <f t="shared" si="6"/>
        <v>75.350466638813558</v>
      </c>
      <c r="E72" s="1">
        <f t="shared" si="7"/>
        <v>333.93273436175616</v>
      </c>
      <c r="F72">
        <v>6.19</v>
      </c>
      <c r="K72" s="1">
        <v>0.67215060391275527</v>
      </c>
      <c r="L72" t="s">
        <v>51</v>
      </c>
      <c r="M72" s="1">
        <v>59.95678973990254</v>
      </c>
      <c r="P72" t="s">
        <v>51</v>
      </c>
      <c r="Q72">
        <v>4.5823783427984006</v>
      </c>
      <c r="S72" t="s">
        <v>4</v>
      </c>
      <c r="T72">
        <v>94.955919469999998</v>
      </c>
    </row>
    <row r="73" spans="1:20" x14ac:dyDescent="0.3">
      <c r="A73" t="s">
        <v>51</v>
      </c>
      <c r="B73" s="1">
        <f t="shared" si="4"/>
        <v>4.5823783427984006</v>
      </c>
      <c r="C73" s="1">
        <f t="shared" si="5"/>
        <v>4.5792657349999999</v>
      </c>
      <c r="D73" s="1">
        <f t="shared" si="6"/>
        <v>59.95678973990254</v>
      </c>
      <c r="E73" s="1">
        <f t="shared" si="7"/>
        <v>672.15060391275529</v>
      </c>
      <c r="F73">
        <v>14.81</v>
      </c>
      <c r="K73" s="1">
        <v>0.64249912549191091</v>
      </c>
      <c r="L73" t="s">
        <v>52</v>
      </c>
      <c r="M73" s="1">
        <v>74.472585495505243</v>
      </c>
      <c r="P73" t="s">
        <v>52</v>
      </c>
      <c r="Q73">
        <v>16.047633628957545</v>
      </c>
      <c r="S73" t="s">
        <v>84</v>
      </c>
      <c r="T73">
        <v>12.69079136</v>
      </c>
    </row>
    <row r="74" spans="1:20" x14ac:dyDescent="0.3">
      <c r="A74" t="s">
        <v>52</v>
      </c>
      <c r="B74" s="1">
        <f t="shared" si="4"/>
        <v>16.047633628957545</v>
      </c>
      <c r="C74" s="1">
        <f t="shared" si="5"/>
        <v>21.208758240000002</v>
      </c>
      <c r="D74" s="1">
        <f t="shared" si="6"/>
        <v>74.472585495505243</v>
      </c>
      <c r="E74" s="1">
        <f t="shared" si="7"/>
        <v>642.49912549191095</v>
      </c>
      <c r="F74">
        <v>11.35</v>
      </c>
      <c r="K74" s="1">
        <v>0.26218472121246006</v>
      </c>
      <c r="L74" t="s">
        <v>53</v>
      </c>
      <c r="M74" s="1">
        <v>63.635533500926968</v>
      </c>
      <c r="P74" t="s">
        <v>53</v>
      </c>
      <c r="Q74">
        <v>30.231748225592082</v>
      </c>
      <c r="S74" t="s">
        <v>9</v>
      </c>
      <c r="T74">
        <v>29.846698480000001</v>
      </c>
    </row>
    <row r="75" spans="1:20" x14ac:dyDescent="0.3">
      <c r="A75" t="s">
        <v>53</v>
      </c>
      <c r="B75" s="1">
        <f t="shared" si="4"/>
        <v>30.231748225592082</v>
      </c>
      <c r="C75" s="1">
        <f t="shared" si="5"/>
        <v>55.601304419999998</v>
      </c>
      <c r="D75" s="1">
        <f t="shared" si="6"/>
        <v>63.635533500926968</v>
      </c>
      <c r="E75" s="1">
        <f t="shared" si="7"/>
        <v>262.18472121246003</v>
      </c>
      <c r="F75">
        <v>16.25</v>
      </c>
      <c r="K75" s="1">
        <v>0.20101638651685386</v>
      </c>
      <c r="L75" t="s">
        <v>54</v>
      </c>
      <c r="M75" s="1">
        <v>47.454466091333373</v>
      </c>
      <c r="P75" t="s">
        <v>54</v>
      </c>
      <c r="Q75">
        <v>1.765559399055032</v>
      </c>
      <c r="S75" t="s">
        <v>61</v>
      </c>
      <c r="T75">
        <v>96.896045979999997</v>
      </c>
    </row>
    <row r="76" spans="1:20" x14ac:dyDescent="0.3">
      <c r="A76" t="s">
        <v>54</v>
      </c>
      <c r="B76" s="1">
        <f t="shared" si="4"/>
        <v>1.765559399055032</v>
      </c>
      <c r="C76" s="1">
        <f t="shared" si="5"/>
        <v>8.4968498360000009</v>
      </c>
      <c r="D76" s="1">
        <f t="shared" si="6"/>
        <v>47.454466091333373</v>
      </c>
      <c r="E76" s="1">
        <f t="shared" si="7"/>
        <v>201.01638651685386</v>
      </c>
      <c r="F76">
        <v>4.9000000000000004</v>
      </c>
      <c r="K76" s="1">
        <v>0.26582573250804281</v>
      </c>
      <c r="L76" t="s">
        <v>55</v>
      </c>
      <c r="M76" s="1">
        <v>38.792204264973677</v>
      </c>
      <c r="P76" t="s">
        <v>55</v>
      </c>
      <c r="Q76">
        <v>0</v>
      </c>
    </row>
    <row r="77" spans="1:20" x14ac:dyDescent="0.3">
      <c r="A77" t="s">
        <v>55</v>
      </c>
      <c r="B77" s="1">
        <f t="shared" si="4"/>
        <v>0</v>
      </c>
      <c r="C77" s="1">
        <f t="shared" si="5"/>
        <v>0</v>
      </c>
      <c r="D77" s="1">
        <f t="shared" si="6"/>
        <v>38.792204264973677</v>
      </c>
      <c r="E77" s="1">
        <f t="shared" si="7"/>
        <v>265.82573250804279</v>
      </c>
      <c r="F77">
        <v>0</v>
      </c>
      <c r="K77" s="1">
        <v>0.15615045762951427</v>
      </c>
      <c r="L77" t="s">
        <v>56</v>
      </c>
      <c r="M77" s="1">
        <v>60.344449386153499</v>
      </c>
      <c r="P77" t="s">
        <v>56</v>
      </c>
      <c r="Q77">
        <v>10.648538366377887</v>
      </c>
    </row>
    <row r="78" spans="1:20" x14ac:dyDescent="0.3">
      <c r="A78" t="s">
        <v>56</v>
      </c>
      <c r="B78" s="1">
        <f t="shared" si="4"/>
        <v>10.648538366377887</v>
      </c>
      <c r="C78" s="1">
        <f t="shared" si="5"/>
        <v>21.40451594</v>
      </c>
      <c r="D78" s="1">
        <f t="shared" si="6"/>
        <v>60.344449386153499</v>
      </c>
      <c r="E78" s="1">
        <f t="shared" si="7"/>
        <v>156.15045762951428</v>
      </c>
      <c r="F78">
        <v>845.43</v>
      </c>
      <c r="K78" s="1">
        <v>0</v>
      </c>
      <c r="L78" t="s">
        <v>57</v>
      </c>
      <c r="M78" s="1">
        <v>69.773769833403833</v>
      </c>
      <c r="P78" t="s">
        <v>57</v>
      </c>
      <c r="Q78">
        <v>15.275191497600032</v>
      </c>
    </row>
    <row r="79" spans="1:20" x14ac:dyDescent="0.3">
      <c r="A79" t="s">
        <v>57</v>
      </c>
      <c r="B79" s="1">
        <f t="shared" si="4"/>
        <v>15.275191497600032</v>
      </c>
      <c r="C79" s="1">
        <f t="shared" si="5"/>
        <v>20.172389450000001</v>
      </c>
      <c r="D79" s="1">
        <f t="shared" si="6"/>
        <v>69.773769833403833</v>
      </c>
      <c r="E79" s="1">
        <f t="shared" si="7"/>
        <v>0</v>
      </c>
      <c r="K79" s="1">
        <v>2.0777333817653467E-4</v>
      </c>
      <c r="L79" t="s">
        <v>70</v>
      </c>
      <c r="M79" s="1">
        <v>84.594451519228585</v>
      </c>
      <c r="P79" t="s">
        <v>70</v>
      </c>
      <c r="Q79">
        <v>71.310729511422721</v>
      </c>
    </row>
    <row r="80" spans="1:20" x14ac:dyDescent="0.3">
      <c r="A80" t="s">
        <v>70</v>
      </c>
      <c r="B80" s="1">
        <f t="shared" si="4"/>
        <v>71.310729511422721</v>
      </c>
      <c r="C80" s="1">
        <f t="shared" si="5"/>
        <v>72.533018620000007</v>
      </c>
      <c r="D80" s="1">
        <f t="shared" si="6"/>
        <v>84.594451519228585</v>
      </c>
      <c r="E80" s="1">
        <f t="shared" si="7"/>
        <v>0.20777333817653468</v>
      </c>
      <c r="F80">
        <v>0</v>
      </c>
      <c r="K80" s="1">
        <v>0.66281932349883099</v>
      </c>
      <c r="L80" t="s">
        <v>82</v>
      </c>
      <c r="M80" s="1">
        <v>89.598600996132944</v>
      </c>
      <c r="P80" t="s">
        <v>82</v>
      </c>
      <c r="Q80">
        <v>30.078728842242302</v>
      </c>
    </row>
    <row r="81" spans="1:17" x14ac:dyDescent="0.3">
      <c r="A81" t="s">
        <v>82</v>
      </c>
      <c r="B81" s="1">
        <f t="shared" si="4"/>
        <v>30.078728842242302</v>
      </c>
      <c r="C81" s="1">
        <f t="shared" si="5"/>
        <v>39.459043880000003</v>
      </c>
      <c r="D81" s="1">
        <f t="shared" si="6"/>
        <v>89.598600996132944</v>
      </c>
      <c r="E81" s="1">
        <f t="shared" si="7"/>
        <v>662.81932349883095</v>
      </c>
      <c r="F81">
        <v>1.33</v>
      </c>
      <c r="K81" s="1">
        <v>0.28437738395862555</v>
      </c>
      <c r="L81" t="s">
        <v>76</v>
      </c>
      <c r="M81" s="1">
        <v>57.956499820488986</v>
      </c>
      <c r="P81" t="s">
        <v>76</v>
      </c>
      <c r="Q81">
        <v>50.443407201511938</v>
      </c>
    </row>
    <row r="82" spans="1:17" x14ac:dyDescent="0.3">
      <c r="A82" t="s">
        <v>76</v>
      </c>
      <c r="B82" s="1">
        <f t="shared" si="4"/>
        <v>50.443407201511938</v>
      </c>
      <c r="C82" s="1">
        <f t="shared" si="5"/>
        <v>78.980023020000004</v>
      </c>
      <c r="D82" s="1">
        <f t="shared" si="6"/>
        <v>57.956499820488986</v>
      </c>
      <c r="E82" s="1">
        <f t="shared" si="7"/>
        <v>284.37738395862556</v>
      </c>
      <c r="F82">
        <v>22.11</v>
      </c>
      <c r="K82" s="1">
        <v>0.33197072854413828</v>
      </c>
      <c r="L82" t="s">
        <v>58</v>
      </c>
      <c r="M82" s="1">
        <v>45.807695005378086</v>
      </c>
      <c r="P82" t="s">
        <v>58</v>
      </c>
      <c r="Q82">
        <v>14.745874414093308</v>
      </c>
    </row>
    <row r="83" spans="1:17" x14ac:dyDescent="0.3">
      <c r="A83" t="s">
        <v>58</v>
      </c>
      <c r="B83" s="1">
        <f t="shared" si="4"/>
        <v>14.745874414093308</v>
      </c>
      <c r="C83" s="1">
        <f t="shared" si="5"/>
        <v>52.562207620000002</v>
      </c>
      <c r="D83" s="1">
        <f t="shared" si="6"/>
        <v>45.807695005378086</v>
      </c>
      <c r="E83" s="1">
        <f t="shared" si="7"/>
        <v>331.9707285441383</v>
      </c>
      <c r="F83">
        <v>12</v>
      </c>
      <c r="K83" s="1">
        <v>0.16767228788842348</v>
      </c>
      <c r="L83" t="s">
        <v>59</v>
      </c>
      <c r="M83" s="1">
        <v>94.59934416838243</v>
      </c>
      <c r="P83" t="s">
        <v>59</v>
      </c>
      <c r="Q83">
        <v>58.917962825797254</v>
      </c>
    </row>
    <row r="84" spans="1:17" x14ac:dyDescent="0.3">
      <c r="A84" t="s">
        <v>59</v>
      </c>
      <c r="B84" s="1">
        <f t="shared" si="4"/>
        <v>58.917962825797254</v>
      </c>
      <c r="C84" s="1">
        <f t="shared" si="5"/>
        <v>66.348183030000001</v>
      </c>
      <c r="D84" s="1">
        <f t="shared" si="6"/>
        <v>94.59934416838243</v>
      </c>
      <c r="E84" s="1">
        <f t="shared" si="7"/>
        <v>167.67228788842348</v>
      </c>
      <c r="F84">
        <v>0.24</v>
      </c>
      <c r="K84" s="1">
        <v>0.29444955509924697</v>
      </c>
      <c r="L84" t="s">
        <v>60</v>
      </c>
      <c r="M84" s="1">
        <v>64.148527879033026</v>
      </c>
      <c r="P84" t="s">
        <v>60</v>
      </c>
      <c r="Q84">
        <v>7.2463320604933408</v>
      </c>
    </row>
    <row r="85" spans="1:17" x14ac:dyDescent="0.3">
      <c r="A85" t="s">
        <v>60</v>
      </c>
      <c r="B85" s="1">
        <f t="shared" si="4"/>
        <v>7.2463320604933408</v>
      </c>
      <c r="C85" s="1">
        <f t="shared" si="5"/>
        <v>13.14741151</v>
      </c>
      <c r="D85" s="1">
        <f t="shared" si="6"/>
        <v>64.148527879033026</v>
      </c>
      <c r="E85" s="1">
        <f t="shared" si="7"/>
        <v>294.44955509924699</v>
      </c>
      <c r="F85">
        <v>6.85</v>
      </c>
      <c r="K85" s="1">
        <v>0.84397663175785853</v>
      </c>
      <c r="L85" t="s">
        <v>66</v>
      </c>
      <c r="M85" s="1">
        <v>54.616254048373456</v>
      </c>
      <c r="P85" t="s">
        <v>66</v>
      </c>
      <c r="Q85">
        <v>13.394664606261427</v>
      </c>
    </row>
    <row r="86" spans="1:17" x14ac:dyDescent="0.3">
      <c r="A86" t="s">
        <v>66</v>
      </c>
      <c r="B86" s="1">
        <f t="shared" si="4"/>
        <v>13.394664606261427</v>
      </c>
      <c r="C86" s="1">
        <f t="shared" si="5"/>
        <v>35.337413060000003</v>
      </c>
      <c r="D86" s="1">
        <f t="shared" si="6"/>
        <v>54.616254048373456</v>
      </c>
      <c r="E86" s="1">
        <f t="shared" si="7"/>
        <v>843.97663175785851</v>
      </c>
      <c r="F86">
        <v>1.55</v>
      </c>
    </row>
  </sheetData>
  <mergeCells count="2">
    <mergeCell ref="B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C116-F726-4195-9118-8C01022171C4}">
  <dimension ref="A1:L85"/>
  <sheetViews>
    <sheetView workbookViewId="0">
      <selection activeCell="N88" sqref="N88"/>
    </sheetView>
  </sheetViews>
  <sheetFormatPr defaultRowHeight="14.4" x14ac:dyDescent="0.3"/>
  <cols>
    <col min="1" max="1" width="18.44140625" bestFit="1" customWidth="1"/>
    <col min="2" max="2" width="5.6640625" bestFit="1" customWidth="1"/>
    <col min="3" max="3" width="6.5546875" bestFit="1" customWidth="1"/>
    <col min="4" max="4" width="5.5546875" bestFit="1" customWidth="1"/>
    <col min="5" max="5" width="7.5546875" bestFit="1" customWidth="1"/>
    <col min="6" max="6" width="7" bestFit="1" customWidth="1"/>
    <col min="8" max="8" width="9.44140625" bestFit="1" customWidth="1"/>
    <col min="10" max="10" width="9.44140625" bestFit="1" customWidth="1"/>
    <col min="11" max="11" width="10.5546875" bestFit="1" customWidth="1"/>
    <col min="12" max="12" width="10.21875" bestFit="1" customWidth="1"/>
  </cols>
  <sheetData>
    <row r="1" spans="1:12" x14ac:dyDescent="0.3">
      <c r="A1" t="s">
        <v>77</v>
      </c>
      <c r="B1" t="s">
        <v>99</v>
      </c>
      <c r="C1" t="s">
        <v>100</v>
      </c>
      <c r="D1" t="s">
        <v>101</v>
      </c>
      <c r="E1" t="s">
        <v>94</v>
      </c>
      <c r="F1" t="s">
        <v>102</v>
      </c>
      <c r="H1" t="s">
        <v>103</v>
      </c>
      <c r="I1" t="s">
        <v>104</v>
      </c>
      <c r="J1" t="s">
        <v>105</v>
      </c>
      <c r="K1" t="s">
        <v>107</v>
      </c>
      <c r="L1" t="s">
        <v>106</v>
      </c>
    </row>
    <row r="2" spans="1:12" x14ac:dyDescent="0.3">
      <c r="A2" t="s">
        <v>67</v>
      </c>
      <c r="B2" s="1">
        <v>0</v>
      </c>
      <c r="C2" s="1">
        <v>0</v>
      </c>
      <c r="D2" s="1">
        <v>4.2857833822795461</v>
      </c>
      <c r="E2" s="1">
        <v>2542.3084416318175</v>
      </c>
      <c r="F2">
        <v>1.54</v>
      </c>
      <c r="H2" s="1">
        <f>100*((B2-MIN($B$2:$B$85))/(MAX($B$2:$B$85)-MIN($B$2:$B$85)))</f>
        <v>0</v>
      </c>
      <c r="I2" s="1">
        <f>100*((C2-MIN($C$2:$C$85))/(MAX($C$2:$C$85)-MIN($C$2:$C$85)))</f>
        <v>0</v>
      </c>
      <c r="J2" s="1">
        <f>100*((D2-MIN($D$2:$D$85))/(MAX($D$2:$D$85)-MIN($D$2:$D$85)))</f>
        <v>2.2592694283497283</v>
      </c>
      <c r="K2" s="1">
        <f>100*((MAX($E$2:$E$85)-E2)/(MAX($E$2:$E$85)-MIN($E$2:$E$85)))</f>
        <v>5.6798751095864235</v>
      </c>
      <c r="L2" s="1">
        <f>100*((F2-MIN($F$2:$F$85))/(MAX($F$2:$F$85)-MIN($F$2:$F$85)))</f>
        <v>1.5690269994905754</v>
      </c>
    </row>
    <row r="3" spans="1:12" x14ac:dyDescent="0.3">
      <c r="A3" t="s">
        <v>83</v>
      </c>
      <c r="B3" s="1">
        <v>19.348601611495255</v>
      </c>
      <c r="C3" s="1">
        <v>89.786635520000004</v>
      </c>
      <c r="D3" s="1">
        <v>20.556658569339586</v>
      </c>
      <c r="E3" s="1">
        <v>1072.2778177228072</v>
      </c>
      <c r="F3">
        <v>9.4</v>
      </c>
      <c r="H3" s="1">
        <f t="shared" ref="H3:H66" si="0">100*((B3-MIN($B$2:$B$85))/(MAX($B$2:$B$85)-MIN($B$2:$B$85)))</f>
        <v>21.85946492778524</v>
      </c>
      <c r="I3" s="1">
        <f t="shared" ref="I3:I66" si="1">100*((C3-MIN($C$2:$C$85))/(MAX($C$2:$C$85)-MIN($C$2:$C$85)))</f>
        <v>89.786635520000004</v>
      </c>
      <c r="J3" s="1">
        <f t="shared" ref="J3:J66" si="2">100*((D3-MIN($D$2:$D$85))/(MAX($D$2:$D$85)-MIN($D$2:$D$85)))</f>
        <v>19.868222214409055</v>
      </c>
      <c r="K3" s="1">
        <f t="shared" ref="K3:K66" si="3">100*((MAX($E$2:$E$85)-E3)/(MAX($E$2:$E$85)-MIN($E$2:$E$85)))</f>
        <v>60.218289791808729</v>
      </c>
      <c r="L3" s="1">
        <f t="shared" ref="L3:L66" si="4">100*((F3-MIN($F$2:$F$85))/(MAX($F$2:$F$85)-MIN($F$2:$F$85)))</f>
        <v>9.5771777890983198</v>
      </c>
    </row>
    <row r="4" spans="1:12" x14ac:dyDescent="0.3">
      <c r="A4" t="s">
        <v>0</v>
      </c>
      <c r="B4" s="1">
        <v>3.6371365320399787</v>
      </c>
      <c r="C4" s="1">
        <v>7.297535624</v>
      </c>
      <c r="D4" s="1">
        <v>31.460966106997105</v>
      </c>
      <c r="E4" s="1">
        <v>611.61374799834357</v>
      </c>
      <c r="F4">
        <v>7.34</v>
      </c>
      <c r="H4" s="1">
        <f t="shared" si="0"/>
        <v>4.1091268535116718</v>
      </c>
      <c r="I4" s="1">
        <f t="shared" si="1"/>
        <v>7.297535624</v>
      </c>
      <c r="J4" s="1">
        <f t="shared" si="2"/>
        <v>31.669273748993216</v>
      </c>
      <c r="K4" s="1">
        <f t="shared" si="3"/>
        <v>77.309014063269927</v>
      </c>
      <c r="L4" s="1">
        <f t="shared" si="4"/>
        <v>7.4783494651044311</v>
      </c>
    </row>
    <row r="5" spans="1:12" x14ac:dyDescent="0.3">
      <c r="A5" t="s">
        <v>1</v>
      </c>
      <c r="B5" s="1">
        <v>4.6311981743131563</v>
      </c>
      <c r="C5" s="1">
        <v>17.573206599999999</v>
      </c>
      <c r="D5" s="1">
        <v>59.339827853461792</v>
      </c>
      <c r="E5" s="1">
        <v>163.6176508229031</v>
      </c>
      <c r="F5">
        <v>20.69</v>
      </c>
      <c r="H5" s="1">
        <f t="shared" si="0"/>
        <v>5.2321876328714181</v>
      </c>
      <c r="I5" s="1">
        <f t="shared" si="1"/>
        <v>17.573206599999999</v>
      </c>
      <c r="J5" s="1">
        <f t="shared" si="2"/>
        <v>61.840825959841162</v>
      </c>
      <c r="K5" s="1">
        <f t="shared" si="3"/>
        <v>93.929754152888407</v>
      </c>
      <c r="L5" s="1">
        <f t="shared" si="4"/>
        <v>21.079979623025981</v>
      </c>
    </row>
    <row r="6" spans="1:12" x14ac:dyDescent="0.3">
      <c r="A6" t="s">
        <v>84</v>
      </c>
      <c r="B6" s="1">
        <v>10.170851829575401</v>
      </c>
      <c r="C6" s="1">
        <v>12.69079136</v>
      </c>
      <c r="D6" s="1">
        <v>58.438040191498921</v>
      </c>
      <c r="E6" s="1">
        <v>287.96395219566415</v>
      </c>
      <c r="F6">
        <v>13.17</v>
      </c>
      <c r="H6" s="1">
        <f t="shared" si="0"/>
        <v>11.490720793083829</v>
      </c>
      <c r="I6" s="1">
        <f t="shared" si="1"/>
        <v>12.69079136</v>
      </c>
      <c r="J6" s="1">
        <f t="shared" si="2"/>
        <v>60.864877451847946</v>
      </c>
      <c r="K6" s="1">
        <f t="shared" si="3"/>
        <v>89.316482811346603</v>
      </c>
      <c r="L6" s="1">
        <f t="shared" si="4"/>
        <v>13.418237391747326</v>
      </c>
    </row>
    <row r="7" spans="1:12" x14ac:dyDescent="0.3">
      <c r="A7" t="s">
        <v>71</v>
      </c>
      <c r="B7" s="1">
        <v>12.162966018468795</v>
      </c>
      <c r="C7" s="1">
        <v>28.8825489</v>
      </c>
      <c r="D7" s="1">
        <v>42.350452425669708</v>
      </c>
      <c r="E7" s="1">
        <v>411.82198347371104</v>
      </c>
      <c r="F7">
        <v>9.11</v>
      </c>
      <c r="H7" s="1">
        <f t="shared" si="0"/>
        <v>13.741351154834982</v>
      </c>
      <c r="I7" s="1">
        <f t="shared" si="1"/>
        <v>28.8825489</v>
      </c>
      <c r="J7" s="1">
        <f t="shared" si="2"/>
        <v>43.454285203229091</v>
      </c>
      <c r="K7" s="1">
        <f t="shared" si="3"/>
        <v>84.721326382834079</v>
      </c>
      <c r="L7" s="1">
        <f t="shared" si="4"/>
        <v>9.2817116658176246</v>
      </c>
    </row>
    <row r="8" spans="1:12" x14ac:dyDescent="0.3">
      <c r="A8" t="s">
        <v>2</v>
      </c>
      <c r="B8" s="1">
        <v>26.497348352968885</v>
      </c>
      <c r="C8" s="1">
        <v>60.84390397</v>
      </c>
      <c r="D8" s="1">
        <v>60.662626533507172</v>
      </c>
      <c r="E8" s="1">
        <v>467.06324179457749</v>
      </c>
      <c r="F8">
        <v>41.19</v>
      </c>
      <c r="H8" s="1">
        <f t="shared" si="0"/>
        <v>29.935902791905665</v>
      </c>
      <c r="I8" s="1">
        <f t="shared" si="1"/>
        <v>60.84390397</v>
      </c>
      <c r="J8" s="1">
        <f t="shared" si="2"/>
        <v>63.272408418349926</v>
      </c>
      <c r="K8" s="1">
        <f t="shared" si="3"/>
        <v>82.671865232249459</v>
      </c>
      <c r="L8" s="1">
        <f t="shared" si="4"/>
        <v>41.966377992868054</v>
      </c>
    </row>
    <row r="9" spans="1:12" x14ac:dyDescent="0.3">
      <c r="A9" t="s">
        <v>3</v>
      </c>
      <c r="B9" s="1">
        <v>9.247858217261733</v>
      </c>
      <c r="C9" s="1">
        <v>62.328888970000001</v>
      </c>
      <c r="D9" s="1">
        <v>24.212528351034877</v>
      </c>
      <c r="E9" s="1">
        <v>519.89424363672879</v>
      </c>
      <c r="F9">
        <v>1.42</v>
      </c>
      <c r="H9" s="1">
        <f t="shared" si="0"/>
        <v>10.447950524613702</v>
      </c>
      <c r="I9" s="1">
        <f t="shared" si="1"/>
        <v>62.328888969999994</v>
      </c>
      <c r="J9" s="1">
        <f t="shared" si="2"/>
        <v>23.824741924488986</v>
      </c>
      <c r="K9" s="1">
        <f t="shared" si="3"/>
        <v>80.711825053710413</v>
      </c>
      <c r="L9" s="1">
        <f t="shared" si="4"/>
        <v>1.4467651553744267</v>
      </c>
    </row>
    <row r="10" spans="1:12" x14ac:dyDescent="0.3">
      <c r="A10" t="s">
        <v>4</v>
      </c>
      <c r="B10" s="1">
        <v>36.067212506239244</v>
      </c>
      <c r="C10" s="1">
        <v>94.955919469999998</v>
      </c>
      <c r="D10" s="1">
        <v>33.631589653349018</v>
      </c>
      <c r="E10" s="1">
        <v>707.87397173465797</v>
      </c>
      <c r="F10">
        <v>13.64</v>
      </c>
      <c r="H10" s="1">
        <f t="shared" si="0"/>
        <v>40.747645884377988</v>
      </c>
      <c r="I10" s="1">
        <f t="shared" si="1"/>
        <v>94.955919469999998</v>
      </c>
      <c r="J10" s="1">
        <f t="shared" si="2"/>
        <v>34.018404149453616</v>
      </c>
      <c r="K10" s="1">
        <f t="shared" si="3"/>
        <v>73.737741523671758</v>
      </c>
      <c r="L10" s="1">
        <f t="shared" si="4"/>
        <v>13.897096281202243</v>
      </c>
    </row>
    <row r="11" spans="1:12" x14ac:dyDescent="0.3">
      <c r="A11" t="s">
        <v>5</v>
      </c>
      <c r="B11" s="1">
        <v>26.448769750584205</v>
      </c>
      <c r="C11" s="1">
        <v>100</v>
      </c>
      <c r="D11" s="1">
        <v>21.693180973983289</v>
      </c>
      <c r="E11" s="1">
        <v>248.04143229382069</v>
      </c>
      <c r="F11">
        <v>0</v>
      </c>
      <c r="H11" s="1">
        <f t="shared" si="0"/>
        <v>29.881020156127079</v>
      </c>
      <c r="I11" s="1">
        <f t="shared" si="1"/>
        <v>100</v>
      </c>
      <c r="J11" s="1">
        <f t="shared" si="2"/>
        <v>21.098209485135936</v>
      </c>
      <c r="K11" s="1">
        <f t="shared" si="3"/>
        <v>90.797615864055572</v>
      </c>
      <c r="L11" s="1">
        <f t="shared" si="4"/>
        <v>0</v>
      </c>
    </row>
    <row r="12" spans="1:12" x14ac:dyDescent="0.3">
      <c r="A12" t="s">
        <v>61</v>
      </c>
      <c r="B12" s="1">
        <v>75.316898626729142</v>
      </c>
      <c r="C12" s="1">
        <v>96.896045979999997</v>
      </c>
      <c r="D12" s="1">
        <v>81.683731019407674</v>
      </c>
      <c r="E12" s="1">
        <v>274.41885162658343</v>
      </c>
      <c r="F12">
        <v>1.64</v>
      </c>
      <c r="H12" s="1">
        <f t="shared" si="0"/>
        <v>85.09075420842828</v>
      </c>
      <c r="I12" s="1">
        <f t="shared" si="1"/>
        <v>96.896045979999997</v>
      </c>
      <c r="J12" s="1">
        <f t="shared" si="2"/>
        <v>86.022237923367811</v>
      </c>
      <c r="K12" s="1">
        <f t="shared" si="3"/>
        <v>89.819008608927987</v>
      </c>
      <c r="L12" s="1">
        <f t="shared" si="4"/>
        <v>1.6709118695873659</v>
      </c>
    </row>
    <row r="13" spans="1:12" x14ac:dyDescent="0.3">
      <c r="A13" t="s">
        <v>6</v>
      </c>
      <c r="B13" s="1">
        <v>7.9607615090680985</v>
      </c>
      <c r="C13" s="1">
        <v>36.13656615</v>
      </c>
      <c r="D13" s="1">
        <v>57.934948725614831</v>
      </c>
      <c r="E13" s="1">
        <v>285.70116146663628</v>
      </c>
      <c r="F13">
        <v>35.46</v>
      </c>
      <c r="H13" s="1">
        <f t="shared" si="0"/>
        <v>8.9938275902352789</v>
      </c>
      <c r="I13" s="1">
        <f t="shared" si="1"/>
        <v>36.13656615</v>
      </c>
      <c r="J13" s="1">
        <f t="shared" si="2"/>
        <v>60.32041295513374</v>
      </c>
      <c r="K13" s="1">
        <f t="shared" si="3"/>
        <v>89.400432776137578</v>
      </c>
      <c r="L13" s="1">
        <f t="shared" si="4"/>
        <v>36.128374936321954</v>
      </c>
    </row>
    <row r="14" spans="1:12" x14ac:dyDescent="0.3">
      <c r="A14" t="s">
        <v>62</v>
      </c>
      <c r="B14" s="1">
        <v>0</v>
      </c>
      <c r="C14" s="1">
        <v>0</v>
      </c>
      <c r="D14" s="1">
        <v>7.473317269191913</v>
      </c>
      <c r="E14" s="1">
        <v>1773.836740637189</v>
      </c>
      <c r="F14">
        <v>0.76</v>
      </c>
      <c r="H14" s="1">
        <f t="shared" si="0"/>
        <v>0</v>
      </c>
      <c r="I14" s="1">
        <f t="shared" si="1"/>
        <v>0</v>
      </c>
      <c r="J14" s="1">
        <f t="shared" si="2"/>
        <v>5.7089384273008497</v>
      </c>
      <c r="K14" s="1">
        <f t="shared" si="3"/>
        <v>34.190320823261537</v>
      </c>
      <c r="L14" s="1">
        <f t="shared" si="4"/>
        <v>0.77432501273560872</v>
      </c>
    </row>
    <row r="15" spans="1:12" x14ac:dyDescent="0.3">
      <c r="A15" t="s">
        <v>7</v>
      </c>
      <c r="B15" s="1">
        <v>13.942662781498036</v>
      </c>
      <c r="C15" s="1">
        <v>71.944796519999997</v>
      </c>
      <c r="D15" s="1">
        <v>45.658066154535135</v>
      </c>
      <c r="E15" s="1">
        <v>873.51732685969114</v>
      </c>
      <c r="F15">
        <v>4.08</v>
      </c>
      <c r="H15" s="1">
        <f t="shared" si="0"/>
        <v>15.751998733129099</v>
      </c>
      <c r="I15" s="1">
        <f t="shared" si="1"/>
        <v>71.944796519999997</v>
      </c>
      <c r="J15" s="1">
        <f t="shared" si="2"/>
        <v>47.033909121211892</v>
      </c>
      <c r="K15" s="1">
        <f t="shared" si="3"/>
        <v>67.592341663129247</v>
      </c>
      <c r="L15" s="1">
        <f t="shared" si="4"/>
        <v>4.1569026999490575</v>
      </c>
    </row>
    <row r="16" spans="1:12" x14ac:dyDescent="0.3">
      <c r="A16" t="s">
        <v>8</v>
      </c>
      <c r="B16" s="1">
        <v>0.84557739425600553</v>
      </c>
      <c r="C16" s="1">
        <v>0</v>
      </c>
      <c r="D16" s="1">
        <v>20.553742568324768</v>
      </c>
      <c r="E16" s="1">
        <v>558.67447029986079</v>
      </c>
      <c r="F16">
        <v>7.88</v>
      </c>
      <c r="H16" s="1">
        <f t="shared" si="0"/>
        <v>0.95530776665977124</v>
      </c>
      <c r="I16" s="1">
        <f t="shared" si="1"/>
        <v>0</v>
      </c>
      <c r="J16" s="1">
        <f t="shared" si="2"/>
        <v>19.865066408491817</v>
      </c>
      <c r="K16" s="1">
        <f t="shared" si="3"/>
        <v>79.273071296594537</v>
      </c>
      <c r="L16" s="1">
        <f t="shared" si="4"/>
        <v>8.0285277636271015</v>
      </c>
    </row>
    <row r="17" spans="1:12" x14ac:dyDescent="0.3">
      <c r="A17" t="s">
        <v>9</v>
      </c>
      <c r="B17" s="1">
        <v>16.036688456315858</v>
      </c>
      <c r="C17" s="1">
        <v>29.846698480000001</v>
      </c>
      <c r="D17" s="1">
        <v>71.832748133261731</v>
      </c>
      <c r="E17" s="1">
        <v>84.274248401578021</v>
      </c>
      <c r="F17">
        <v>1.71</v>
      </c>
      <c r="H17" s="1">
        <f t="shared" si="0"/>
        <v>18.117765609499479</v>
      </c>
      <c r="I17" s="1">
        <f t="shared" si="1"/>
        <v>29.846698480000001</v>
      </c>
      <c r="J17" s="1">
        <f t="shared" si="2"/>
        <v>75.361133923481148</v>
      </c>
      <c r="K17" s="1">
        <f t="shared" si="3"/>
        <v>96.873409416372567</v>
      </c>
      <c r="L17" s="1">
        <f t="shared" si="4"/>
        <v>1.7422312786551195</v>
      </c>
    </row>
    <row r="18" spans="1:12" x14ac:dyDescent="0.3">
      <c r="A18" t="s">
        <v>10</v>
      </c>
      <c r="B18" s="1">
        <v>88.513610353296144</v>
      </c>
      <c r="C18" s="1">
        <v>88.474868420000007</v>
      </c>
      <c r="D18" s="1">
        <v>82.773231323155258</v>
      </c>
      <c r="E18" s="1">
        <v>197.50064119004875</v>
      </c>
      <c r="F18">
        <v>34.82</v>
      </c>
      <c r="H18" s="1">
        <f t="shared" si="0"/>
        <v>100</v>
      </c>
      <c r="I18" s="1">
        <f t="shared" si="1"/>
        <v>88.474868420000007</v>
      </c>
      <c r="J18" s="1">
        <f t="shared" si="2"/>
        <v>87.201336108838873</v>
      </c>
      <c r="K18" s="1">
        <f t="shared" si="3"/>
        <v>92.672688790261304</v>
      </c>
      <c r="L18" s="1">
        <f t="shared" si="4"/>
        <v>35.476311767702498</v>
      </c>
    </row>
    <row r="19" spans="1:12" x14ac:dyDescent="0.3">
      <c r="A19" t="s">
        <v>11</v>
      </c>
      <c r="B19" s="1">
        <v>1.5713516781410697</v>
      </c>
      <c r="C19" s="1">
        <v>92.19875845</v>
      </c>
      <c r="D19" s="1">
        <v>2.9353895255289792</v>
      </c>
      <c r="E19" s="1">
        <v>435.23794906741807</v>
      </c>
      <c r="F19">
        <v>4.68</v>
      </c>
      <c r="H19" s="1">
        <f t="shared" si="0"/>
        <v>1.7752656025091789</v>
      </c>
      <c r="I19" s="1">
        <f t="shared" si="1"/>
        <v>92.19875845</v>
      </c>
      <c r="J19" s="1">
        <f t="shared" si="2"/>
        <v>0.79782243224614002</v>
      </c>
      <c r="K19" s="1">
        <f t="shared" si="3"/>
        <v>83.852589622549218</v>
      </c>
      <c r="L19" s="1">
        <f t="shared" si="4"/>
        <v>4.7682119205298008</v>
      </c>
    </row>
    <row r="20" spans="1:12" x14ac:dyDescent="0.3">
      <c r="A20" t="s">
        <v>78</v>
      </c>
      <c r="B20" s="1">
        <v>22.282192725660288</v>
      </c>
      <c r="C20" s="1">
        <v>43.109989949999999</v>
      </c>
      <c r="D20" s="1">
        <v>53.637275611912827</v>
      </c>
      <c r="E20" s="1">
        <v>325.93307537238195</v>
      </c>
      <c r="F20">
        <v>40.86</v>
      </c>
      <c r="H20" s="1">
        <f t="shared" si="0"/>
        <v>25.173747445983064</v>
      </c>
      <c r="I20" s="1">
        <f t="shared" si="1"/>
        <v>43.109989949999999</v>
      </c>
      <c r="J20" s="1">
        <f t="shared" si="2"/>
        <v>55.669309552332138</v>
      </c>
      <c r="K20" s="1">
        <f t="shared" si="3"/>
        <v>87.907821147261174</v>
      </c>
      <c r="L20" s="1">
        <f t="shared" si="4"/>
        <v>41.630157921548651</v>
      </c>
    </row>
    <row r="21" spans="1:12" x14ac:dyDescent="0.3">
      <c r="A21" t="s">
        <v>79</v>
      </c>
      <c r="B21" s="1">
        <v>0.60937905848228657</v>
      </c>
      <c r="C21" s="1">
        <v>0.78745990600000004</v>
      </c>
      <c r="D21" s="1">
        <v>30.554190517243441</v>
      </c>
      <c r="E21" s="1">
        <v>281.55001859427301</v>
      </c>
      <c r="F21">
        <v>30.26</v>
      </c>
      <c r="H21" s="1">
        <f t="shared" si="0"/>
        <v>0.68845803040909859</v>
      </c>
      <c r="I21" s="1">
        <f t="shared" si="1"/>
        <v>0.78745990600000004</v>
      </c>
      <c r="J21" s="1">
        <f t="shared" si="2"/>
        <v>30.68792711803744</v>
      </c>
      <c r="K21" s="1">
        <f t="shared" si="3"/>
        <v>89.554440963243295</v>
      </c>
      <c r="L21" s="1">
        <f t="shared" si="4"/>
        <v>30.830361691288843</v>
      </c>
    </row>
    <row r="22" spans="1:12" x14ac:dyDescent="0.3">
      <c r="A22" t="s">
        <v>12</v>
      </c>
      <c r="B22" s="1">
        <v>10.150712178750039</v>
      </c>
      <c r="C22" s="1">
        <v>36.10946208</v>
      </c>
      <c r="D22" s="1">
        <v>39.991571691298269</v>
      </c>
      <c r="E22" s="1">
        <v>429.59364910685485</v>
      </c>
      <c r="F22">
        <v>4.21</v>
      </c>
      <c r="H22" s="1">
        <f t="shared" si="0"/>
        <v>11.467967624678456</v>
      </c>
      <c r="I22" s="1">
        <f t="shared" si="1"/>
        <v>36.10946208</v>
      </c>
      <c r="J22" s="1">
        <f t="shared" si="2"/>
        <v>40.901415796884827</v>
      </c>
      <c r="K22" s="1">
        <f t="shared" si="3"/>
        <v>84.06199422054425</v>
      </c>
      <c r="L22" s="1">
        <f t="shared" si="4"/>
        <v>4.2893530310748851</v>
      </c>
    </row>
    <row r="23" spans="1:12" x14ac:dyDescent="0.3">
      <c r="A23" t="s">
        <v>80</v>
      </c>
      <c r="B23" s="1">
        <v>31.690405236230312</v>
      </c>
      <c r="C23" s="1">
        <v>89.036936190000006</v>
      </c>
      <c r="D23" s="1">
        <v>68.657977287506583</v>
      </c>
      <c r="E23" s="1">
        <v>376.6431422946402</v>
      </c>
      <c r="F23">
        <v>3.36</v>
      </c>
      <c r="H23" s="1">
        <f t="shared" si="0"/>
        <v>35.802861401472818</v>
      </c>
      <c r="I23" s="1">
        <f t="shared" si="1"/>
        <v>89.036936190000006</v>
      </c>
      <c r="J23" s="1">
        <f t="shared" si="2"/>
        <v>71.925277567461649</v>
      </c>
      <c r="K23" s="1">
        <f t="shared" si="3"/>
        <v>86.026468056115945</v>
      </c>
      <c r="L23" s="1">
        <f t="shared" si="4"/>
        <v>3.4233316352521652</v>
      </c>
    </row>
    <row r="24" spans="1:12" x14ac:dyDescent="0.3">
      <c r="A24" t="s">
        <v>13</v>
      </c>
      <c r="B24" s="1">
        <v>17.223411242072196</v>
      </c>
      <c r="C24" s="1">
        <v>99.182513029999996</v>
      </c>
      <c r="D24" s="1">
        <v>29.888367550332767</v>
      </c>
      <c r="E24" s="1">
        <v>280.19688057196231</v>
      </c>
      <c r="F24">
        <v>19.600000000000001</v>
      </c>
      <c r="H24" s="1">
        <f t="shared" si="0"/>
        <v>19.458489121984858</v>
      </c>
      <c r="I24" s="1">
        <f t="shared" si="1"/>
        <v>99.182513029999996</v>
      </c>
      <c r="J24" s="1">
        <f t="shared" si="2"/>
        <v>29.967348473470839</v>
      </c>
      <c r="K24" s="1">
        <f t="shared" si="3"/>
        <v>89.604642640257907</v>
      </c>
      <c r="L24" s="1">
        <f t="shared" si="4"/>
        <v>19.969434538970962</v>
      </c>
    </row>
    <row r="25" spans="1:12" x14ac:dyDescent="0.3">
      <c r="A25" t="s">
        <v>14</v>
      </c>
      <c r="B25" s="1">
        <v>0</v>
      </c>
      <c r="C25" s="1">
        <v>0</v>
      </c>
      <c r="D25" s="1">
        <v>54.558539458372536</v>
      </c>
      <c r="E25" s="1">
        <v>202.05008658585319</v>
      </c>
      <c r="F25">
        <v>20.09</v>
      </c>
      <c r="H25" s="1">
        <f t="shared" si="0"/>
        <v>0</v>
      </c>
      <c r="I25" s="1">
        <f t="shared" si="1"/>
        <v>0</v>
      </c>
      <c r="J25" s="1">
        <f t="shared" si="2"/>
        <v>56.666335919341208</v>
      </c>
      <c r="K25" s="1">
        <f t="shared" si="3"/>
        <v>92.503903504067239</v>
      </c>
      <c r="L25" s="1">
        <f t="shared" si="4"/>
        <v>20.468670402445234</v>
      </c>
    </row>
    <row r="26" spans="1:12" x14ac:dyDescent="0.3">
      <c r="A26" t="s">
        <v>15</v>
      </c>
      <c r="B26" s="1">
        <v>13.632978181175584</v>
      </c>
      <c r="C26" s="1">
        <v>0</v>
      </c>
      <c r="D26" s="1">
        <v>39.496598046083861</v>
      </c>
      <c r="E26" s="1">
        <v>216.38560338302551</v>
      </c>
      <c r="F26">
        <v>48.1</v>
      </c>
      <c r="H26" s="1">
        <f t="shared" si="0"/>
        <v>15.402126437686212</v>
      </c>
      <c r="I26" s="1">
        <f t="shared" si="1"/>
        <v>0</v>
      </c>
      <c r="J26" s="1">
        <f t="shared" si="2"/>
        <v>40.3657367108664</v>
      </c>
      <c r="K26" s="1">
        <f t="shared" si="3"/>
        <v>91.97205311465892</v>
      </c>
      <c r="L26" s="1">
        <f t="shared" si="4"/>
        <v>49.006622516556291</v>
      </c>
    </row>
    <row r="27" spans="1:12" x14ac:dyDescent="0.3">
      <c r="A27" t="s">
        <v>16</v>
      </c>
      <c r="B27" s="1">
        <v>10.511860164601828</v>
      </c>
      <c r="C27" s="1">
        <v>82.037215849999995</v>
      </c>
      <c r="D27" s="1">
        <v>15.603635924999788</v>
      </c>
      <c r="E27" s="1">
        <v>337.16272471405495</v>
      </c>
      <c r="F27">
        <v>9.92</v>
      </c>
      <c r="H27" s="1">
        <f t="shared" si="0"/>
        <v>11.875981696650314</v>
      </c>
      <c r="I27" s="1">
        <f t="shared" si="1"/>
        <v>82.037215849999995</v>
      </c>
      <c r="J27" s="1">
        <f t="shared" si="2"/>
        <v>14.50787491349528</v>
      </c>
      <c r="K27" s="1">
        <f t="shared" si="3"/>
        <v>87.491199028938553</v>
      </c>
      <c r="L27" s="1">
        <f t="shared" si="4"/>
        <v>10.10697911360163</v>
      </c>
    </row>
    <row r="28" spans="1:12" x14ac:dyDescent="0.3">
      <c r="A28" t="s">
        <v>17</v>
      </c>
      <c r="B28" s="1">
        <v>0.67752080243658541</v>
      </c>
      <c r="C28" s="1">
        <v>0</v>
      </c>
      <c r="D28" s="1">
        <v>9.3781926084048237</v>
      </c>
      <c r="E28" s="1">
        <v>234.61136483557928</v>
      </c>
      <c r="F28">
        <v>0.21</v>
      </c>
      <c r="H28" s="1">
        <f t="shared" si="0"/>
        <v>0.76544251187168444</v>
      </c>
      <c r="I28" s="1">
        <f t="shared" si="1"/>
        <v>0</v>
      </c>
      <c r="J28" s="1">
        <f t="shared" si="2"/>
        <v>7.7704661279253973</v>
      </c>
      <c r="K28" s="1">
        <f t="shared" si="3"/>
        <v>91.295873911428828</v>
      </c>
      <c r="L28" s="1">
        <f t="shared" si="4"/>
        <v>0.21395822720326033</v>
      </c>
    </row>
    <row r="29" spans="1:12" x14ac:dyDescent="0.3">
      <c r="A29" t="s">
        <v>63</v>
      </c>
      <c r="B29" s="1">
        <v>11.586086969243034</v>
      </c>
      <c r="C29" s="1">
        <v>89.111282340000002</v>
      </c>
      <c r="D29" s="1">
        <v>27.348911635063878</v>
      </c>
      <c r="E29" s="1">
        <v>256.36077733114462</v>
      </c>
      <c r="F29">
        <v>85.72</v>
      </c>
      <c r="H29" s="1">
        <f t="shared" si="0"/>
        <v>13.089610651964081</v>
      </c>
      <c r="I29" s="1">
        <f t="shared" si="1"/>
        <v>89.111282340000002</v>
      </c>
      <c r="J29" s="1">
        <f t="shared" si="2"/>
        <v>27.219053818134061</v>
      </c>
      <c r="K29" s="1">
        <f t="shared" si="3"/>
        <v>90.488966586856478</v>
      </c>
      <c r="L29" s="1">
        <f t="shared" si="4"/>
        <v>87.33571064696892</v>
      </c>
    </row>
    <row r="30" spans="1:12" x14ac:dyDescent="0.3">
      <c r="A30" t="s">
        <v>18</v>
      </c>
      <c r="B30" s="1">
        <v>0.86354754820199187</v>
      </c>
      <c r="C30" s="1">
        <v>0</v>
      </c>
      <c r="D30" s="1">
        <v>38.289040858211635</v>
      </c>
      <c r="E30" s="1">
        <v>361.65960832166439</v>
      </c>
      <c r="F30">
        <v>11.12</v>
      </c>
      <c r="H30" s="1">
        <f t="shared" si="0"/>
        <v>0.97560990310439233</v>
      </c>
      <c r="I30" s="1">
        <f t="shared" si="1"/>
        <v>0</v>
      </c>
      <c r="J30" s="1">
        <f t="shared" si="2"/>
        <v>39.058872927373102</v>
      </c>
      <c r="K30" s="1">
        <f t="shared" si="3"/>
        <v>86.58236000553012</v>
      </c>
      <c r="L30" s="1">
        <f t="shared" si="4"/>
        <v>11.329597554763115</v>
      </c>
    </row>
    <row r="31" spans="1:12" x14ac:dyDescent="0.3">
      <c r="A31" t="s">
        <v>19</v>
      </c>
      <c r="B31" s="1">
        <v>15.97730138528148</v>
      </c>
      <c r="C31" s="1">
        <v>32.653645040000001</v>
      </c>
      <c r="D31" s="1">
        <v>45.04071922067245</v>
      </c>
      <c r="E31" s="1">
        <v>386.75922782350102</v>
      </c>
      <c r="F31">
        <v>16.100000000000001</v>
      </c>
      <c r="H31" s="1">
        <f t="shared" si="0"/>
        <v>18.050671892728307</v>
      </c>
      <c r="I31" s="1">
        <f t="shared" si="1"/>
        <v>32.653645040000001</v>
      </c>
      <c r="J31" s="1">
        <f t="shared" si="2"/>
        <v>46.365793061932429</v>
      </c>
      <c r="K31" s="1">
        <f t="shared" si="3"/>
        <v>85.651159366242027</v>
      </c>
      <c r="L31" s="1">
        <f t="shared" si="4"/>
        <v>16.403464085583291</v>
      </c>
    </row>
    <row r="32" spans="1:12" x14ac:dyDescent="0.3">
      <c r="A32" t="s">
        <v>20</v>
      </c>
      <c r="B32" s="1">
        <v>11.922397730768289</v>
      </c>
      <c r="C32" s="1">
        <v>75.11176184</v>
      </c>
      <c r="D32" s="1">
        <v>36.28525437532258</v>
      </c>
      <c r="E32" s="1">
        <v>157.48467005076142</v>
      </c>
      <c r="F32">
        <v>13.8</v>
      </c>
      <c r="H32" s="1">
        <f t="shared" si="0"/>
        <v>13.469564379060845</v>
      </c>
      <c r="I32" s="1">
        <f t="shared" si="1"/>
        <v>75.11176184</v>
      </c>
      <c r="J32" s="1">
        <f t="shared" si="2"/>
        <v>36.89029986877091</v>
      </c>
      <c r="K32" s="1">
        <f t="shared" si="3"/>
        <v>94.15728890158617</v>
      </c>
      <c r="L32" s="1">
        <f t="shared" si="4"/>
        <v>14.060112073357105</v>
      </c>
    </row>
    <row r="33" spans="1:12" x14ac:dyDescent="0.3">
      <c r="A33" t="s">
        <v>72</v>
      </c>
      <c r="B33" s="1">
        <v>58.456973075963504</v>
      </c>
      <c r="C33" s="1">
        <v>78.814075290000005</v>
      </c>
      <c r="D33" s="1">
        <v>66.910126176578572</v>
      </c>
      <c r="E33" s="1">
        <v>553.61437368050667</v>
      </c>
      <c r="F33">
        <v>7.04</v>
      </c>
      <c r="H33" s="1">
        <f t="shared" si="0"/>
        <v>66.042920227337248</v>
      </c>
      <c r="I33" s="1">
        <f t="shared" si="1"/>
        <v>78.814075290000005</v>
      </c>
      <c r="J33" s="1">
        <f t="shared" si="2"/>
        <v>70.033687389579285</v>
      </c>
      <c r="K33" s="1">
        <f t="shared" si="3"/>
        <v>79.460801839938327</v>
      </c>
      <c r="L33" s="1">
        <f t="shared" si="4"/>
        <v>7.1726948548140603</v>
      </c>
    </row>
    <row r="34" spans="1:12" x14ac:dyDescent="0.3">
      <c r="A34" t="s">
        <v>21</v>
      </c>
      <c r="B34" s="1">
        <v>16.58637624747778</v>
      </c>
      <c r="C34" s="1">
        <v>38.619727099999999</v>
      </c>
      <c r="D34" s="1">
        <v>53.848999017328005</v>
      </c>
      <c r="E34" s="1">
        <v>127.37172238320737</v>
      </c>
      <c r="F34">
        <v>18.32</v>
      </c>
      <c r="H34" s="1">
        <f t="shared" si="0"/>
        <v>18.738786251373512</v>
      </c>
      <c r="I34" s="1">
        <f t="shared" si="1"/>
        <v>38.619727099999999</v>
      </c>
      <c r="J34" s="1">
        <f t="shared" si="2"/>
        <v>55.898444580829221</v>
      </c>
      <c r="K34" s="1">
        <f t="shared" si="3"/>
        <v>95.274484965726657</v>
      </c>
      <c r="L34" s="1">
        <f t="shared" si="4"/>
        <v>18.665308201732042</v>
      </c>
    </row>
    <row r="35" spans="1:12" x14ac:dyDescent="0.3">
      <c r="A35" t="s">
        <v>22</v>
      </c>
      <c r="B35" s="1">
        <v>14.472563174371796</v>
      </c>
      <c r="C35" s="1">
        <v>35.221518490000001</v>
      </c>
      <c r="D35" s="1">
        <v>37.231092395360655</v>
      </c>
      <c r="E35" s="1">
        <v>69.410371979364712</v>
      </c>
      <c r="F35">
        <v>29.8</v>
      </c>
      <c r="H35" s="1">
        <f t="shared" si="0"/>
        <v>16.350664170860878</v>
      </c>
      <c r="I35" s="1">
        <f t="shared" si="1"/>
        <v>35.221518490000001</v>
      </c>
      <c r="J35" s="1">
        <f t="shared" si="2"/>
        <v>37.913921330224682</v>
      </c>
      <c r="K35" s="1">
        <f t="shared" si="3"/>
        <v>97.424862047981236</v>
      </c>
      <c r="L35" s="1">
        <f t="shared" si="4"/>
        <v>30.361691288843605</v>
      </c>
    </row>
    <row r="36" spans="1:12" x14ac:dyDescent="0.3">
      <c r="A36" t="s">
        <v>23</v>
      </c>
      <c r="B36" s="1">
        <v>17.988085765925639</v>
      </c>
      <c r="C36" s="1">
        <v>59.055943319999997</v>
      </c>
      <c r="D36" s="1">
        <v>45.564077121112909</v>
      </c>
      <c r="E36" s="1">
        <v>123.76957922287093</v>
      </c>
      <c r="F36">
        <v>8.3800000000000008</v>
      </c>
      <c r="H36" s="1">
        <f t="shared" si="0"/>
        <v>20.322395272464199</v>
      </c>
      <c r="I36" s="1">
        <f t="shared" si="1"/>
        <v>59.05594331999999</v>
      </c>
      <c r="J36" s="1">
        <f t="shared" si="2"/>
        <v>46.932190655984186</v>
      </c>
      <c r="K36" s="1">
        <f t="shared" si="3"/>
        <v>95.408125159494006</v>
      </c>
      <c r="L36" s="1">
        <f t="shared" si="4"/>
        <v>8.5379521141110555</v>
      </c>
    </row>
    <row r="37" spans="1:12" x14ac:dyDescent="0.3">
      <c r="A37" t="s">
        <v>73</v>
      </c>
      <c r="B37" s="1">
        <v>7.4258200230379741</v>
      </c>
      <c r="C37" s="1">
        <v>20.402945219999999</v>
      </c>
      <c r="D37" s="1">
        <v>40.857153812340073</v>
      </c>
      <c r="E37" s="1">
        <v>4.0537652550475221</v>
      </c>
      <c r="F37">
        <v>0</v>
      </c>
      <c r="H37" s="1">
        <f t="shared" si="0"/>
        <v>8.3894668779166395</v>
      </c>
      <c r="I37" s="1">
        <f t="shared" si="1"/>
        <v>20.402945219999999</v>
      </c>
      <c r="J37" s="1">
        <f t="shared" si="2"/>
        <v>41.838181307445929</v>
      </c>
      <c r="K37" s="1">
        <f t="shared" si="3"/>
        <v>99.849604540947411</v>
      </c>
      <c r="L37" s="1">
        <f t="shared" si="4"/>
        <v>0</v>
      </c>
    </row>
    <row r="38" spans="1:12" x14ac:dyDescent="0.3">
      <c r="A38" t="s">
        <v>24</v>
      </c>
      <c r="B38" s="1">
        <v>31.961314177946448</v>
      </c>
      <c r="C38" s="1">
        <v>72.798406589999999</v>
      </c>
      <c r="D38" s="1">
        <v>49.512283570317663</v>
      </c>
      <c r="E38" s="1">
        <v>1715.4622745798049</v>
      </c>
      <c r="F38">
        <v>0.36</v>
      </c>
      <c r="H38" s="1">
        <f t="shared" si="0"/>
        <v>36.108926130540837</v>
      </c>
      <c r="I38" s="1">
        <f t="shared" si="1"/>
        <v>72.798406589999999</v>
      </c>
      <c r="J38" s="1">
        <f t="shared" si="2"/>
        <v>51.205088097232618</v>
      </c>
      <c r="K38" s="1">
        <f t="shared" si="3"/>
        <v>36.35602457453794</v>
      </c>
      <c r="L38" s="1">
        <f t="shared" si="4"/>
        <v>0.36678553234844619</v>
      </c>
    </row>
    <row r="39" spans="1:12" x14ac:dyDescent="0.3">
      <c r="A39" t="s">
        <v>74</v>
      </c>
      <c r="B39" s="1">
        <v>64.728407664213833</v>
      </c>
      <c r="C39" s="1">
        <v>83.891704779999998</v>
      </c>
      <c r="D39" s="1">
        <v>82.547355360453082</v>
      </c>
      <c r="E39" s="1">
        <v>196.53680932141347</v>
      </c>
      <c r="F39">
        <v>5.05</v>
      </c>
      <c r="H39" s="1">
        <f t="shared" si="0"/>
        <v>73.128197353892517</v>
      </c>
      <c r="I39" s="1">
        <f t="shared" si="1"/>
        <v>83.891704779999998</v>
      </c>
      <c r="J39" s="1">
        <f t="shared" si="2"/>
        <v>86.956884650819475</v>
      </c>
      <c r="K39" s="1">
        <f t="shared" si="3"/>
        <v>92.708447135210463</v>
      </c>
      <c r="L39" s="1">
        <f t="shared" si="4"/>
        <v>5.1451859398879263</v>
      </c>
    </row>
    <row r="40" spans="1:12" x14ac:dyDescent="0.3">
      <c r="A40" t="s">
        <v>81</v>
      </c>
      <c r="B40" s="1">
        <v>29.449006938665246</v>
      </c>
      <c r="C40" s="1">
        <v>89.54692833</v>
      </c>
      <c r="D40" s="1">
        <v>30.444945807033069</v>
      </c>
      <c r="E40" s="1">
        <v>414.57836293055914</v>
      </c>
      <c r="F40">
        <v>61.33</v>
      </c>
      <c r="H40" s="1">
        <f t="shared" si="0"/>
        <v>33.270597393012793</v>
      </c>
      <c r="I40" s="1">
        <f t="shared" si="1"/>
        <v>89.54692833</v>
      </c>
      <c r="J40" s="1">
        <f t="shared" si="2"/>
        <v>30.569698385894551</v>
      </c>
      <c r="K40" s="1">
        <f t="shared" si="3"/>
        <v>84.619064182717864</v>
      </c>
      <c r="L40" s="1">
        <f t="shared" si="4"/>
        <v>62.485990830361679</v>
      </c>
    </row>
    <row r="41" spans="1:12" x14ac:dyDescent="0.3">
      <c r="A41" t="s">
        <v>68</v>
      </c>
      <c r="B41" s="1">
        <v>21.938495127163982</v>
      </c>
      <c r="C41" s="1">
        <v>35.398092859999998</v>
      </c>
      <c r="D41" s="1">
        <v>70.857897862307482</v>
      </c>
      <c r="E41" s="1">
        <v>218.90690025931295</v>
      </c>
      <c r="F41">
        <v>16.22</v>
      </c>
      <c r="H41" s="1">
        <f t="shared" si="0"/>
        <v>24.785448293881526</v>
      </c>
      <c r="I41" s="1">
        <f t="shared" si="1"/>
        <v>35.398092859999998</v>
      </c>
      <c r="J41" s="1">
        <f t="shared" si="2"/>
        <v>74.306114313450436</v>
      </c>
      <c r="K41" s="1">
        <f t="shared" si="3"/>
        <v>91.878512522823968</v>
      </c>
      <c r="L41" s="1">
        <f t="shared" si="4"/>
        <v>16.525725929699437</v>
      </c>
    </row>
    <row r="42" spans="1:12" x14ac:dyDescent="0.3">
      <c r="A42" t="s">
        <v>25</v>
      </c>
      <c r="B42" s="1">
        <v>43.631517920073406</v>
      </c>
      <c r="C42" s="1">
        <v>57.164711339999997</v>
      </c>
      <c r="D42" s="1">
        <v>81.485920948361681</v>
      </c>
      <c r="E42" s="1">
        <v>157.13731095483217</v>
      </c>
      <c r="F42">
        <v>13.89</v>
      </c>
      <c r="H42" s="1">
        <f t="shared" si="0"/>
        <v>49.293569368508557</v>
      </c>
      <c r="I42" s="1">
        <f t="shared" si="1"/>
        <v>57.164711339999997</v>
      </c>
      <c r="J42" s="1">
        <f t="shared" si="2"/>
        <v>85.808160428358434</v>
      </c>
      <c r="K42" s="1">
        <f t="shared" si="3"/>
        <v>94.170175989861278</v>
      </c>
      <c r="L42" s="1">
        <f t="shared" si="4"/>
        <v>14.151808456444218</v>
      </c>
    </row>
    <row r="43" spans="1:12" x14ac:dyDescent="0.3">
      <c r="A43" t="s">
        <v>26</v>
      </c>
      <c r="B43" s="1">
        <v>13.583182892553364</v>
      </c>
      <c r="C43" s="1">
        <v>95.555089519999996</v>
      </c>
      <c r="D43" s="1">
        <v>29.974889677996035</v>
      </c>
      <c r="E43" s="1">
        <v>212.98326745718043</v>
      </c>
      <c r="F43">
        <v>44.05</v>
      </c>
      <c r="H43" s="1">
        <f t="shared" si="0"/>
        <v>15.345869226593514</v>
      </c>
      <c r="I43" s="1">
        <f t="shared" si="1"/>
        <v>95.555089519999996</v>
      </c>
      <c r="J43" s="1">
        <f t="shared" si="2"/>
        <v>30.060985972588494</v>
      </c>
      <c r="K43" s="1">
        <f t="shared" si="3"/>
        <v>92.098280422168031</v>
      </c>
      <c r="L43" s="1">
        <f t="shared" si="4"/>
        <v>44.880285277636268</v>
      </c>
    </row>
    <row r="44" spans="1:12" x14ac:dyDescent="0.3">
      <c r="A44" t="s">
        <v>27</v>
      </c>
      <c r="B44" s="1">
        <v>67.406632493939071</v>
      </c>
      <c r="C44" s="1">
        <v>99.587342039999996</v>
      </c>
      <c r="D44" s="1">
        <v>66.481836159645269</v>
      </c>
      <c r="E44" s="1">
        <v>530.75983426660969</v>
      </c>
      <c r="F44">
        <v>4.9000000000000004</v>
      </c>
      <c r="H44" s="1">
        <f t="shared" si="0"/>
        <v>76.153974767145996</v>
      </c>
      <c r="I44" s="1">
        <f t="shared" si="1"/>
        <v>99.587342039999996</v>
      </c>
      <c r="J44" s="1">
        <f t="shared" si="2"/>
        <v>69.570175832873545</v>
      </c>
      <c r="K44" s="1">
        <f t="shared" si="3"/>
        <v>80.308709582575574</v>
      </c>
      <c r="L44" s="1">
        <f t="shared" si="4"/>
        <v>4.9923586347427404</v>
      </c>
    </row>
    <row r="45" spans="1:12" x14ac:dyDescent="0.3">
      <c r="A45" t="s">
        <v>28</v>
      </c>
      <c r="B45" s="1">
        <v>57.334207344879239</v>
      </c>
      <c r="C45" s="1">
        <v>81.899298239999993</v>
      </c>
      <c r="D45" s="1">
        <v>69.04122770562563</v>
      </c>
      <c r="E45" s="1">
        <v>545.63856886744384</v>
      </c>
      <c r="F45">
        <v>2.27</v>
      </c>
      <c r="H45" s="1">
        <f t="shared" si="0"/>
        <v>64.774453460923795</v>
      </c>
      <c r="I45" s="1">
        <f t="shared" si="1"/>
        <v>81.899298239999993</v>
      </c>
      <c r="J45" s="1">
        <f t="shared" si="2"/>
        <v>72.340045577191276</v>
      </c>
      <c r="K45" s="1">
        <f t="shared" si="3"/>
        <v>79.756705709724784</v>
      </c>
      <c r="L45" s="1">
        <f t="shared" si="4"/>
        <v>2.312786551197147</v>
      </c>
    </row>
    <row r="46" spans="1:12" x14ac:dyDescent="0.3">
      <c r="A46" t="s">
        <v>29</v>
      </c>
      <c r="B46" s="1">
        <v>84.821536773566649</v>
      </c>
      <c r="C46" s="1">
        <v>94.556103910000004</v>
      </c>
      <c r="D46" s="1">
        <v>87.871774161763568</v>
      </c>
      <c r="E46" s="1">
        <v>618.49341138775662</v>
      </c>
      <c r="F46">
        <v>7.88</v>
      </c>
      <c r="H46" s="1">
        <f t="shared" si="0"/>
        <v>95.828806931507103</v>
      </c>
      <c r="I46" s="1">
        <f t="shared" si="1"/>
        <v>94.556103910000004</v>
      </c>
      <c r="J46" s="1">
        <f t="shared" si="2"/>
        <v>92.719170834419899</v>
      </c>
      <c r="K46" s="1">
        <f t="shared" si="3"/>
        <v>77.053777247993125</v>
      </c>
      <c r="L46" s="1">
        <f t="shared" si="4"/>
        <v>8.0285277636271015</v>
      </c>
    </row>
    <row r="47" spans="1:12" x14ac:dyDescent="0.3">
      <c r="A47" t="s">
        <v>30</v>
      </c>
      <c r="B47" s="1">
        <v>20.999961017351211</v>
      </c>
      <c r="C47" s="1">
        <v>67.182065379999997</v>
      </c>
      <c r="D47" s="1">
        <v>52.834562921078543</v>
      </c>
      <c r="E47" s="1">
        <v>301.07739614074916</v>
      </c>
      <c r="F47">
        <v>7.98</v>
      </c>
      <c r="H47" s="1">
        <f t="shared" si="0"/>
        <v>23.725120841338722</v>
      </c>
      <c r="I47" s="1">
        <f t="shared" si="1"/>
        <v>67.182065379999997</v>
      </c>
      <c r="J47" s="1">
        <f t="shared" si="2"/>
        <v>54.800583702544237</v>
      </c>
      <c r="K47" s="1">
        <f t="shared" si="3"/>
        <v>88.82997155630396</v>
      </c>
      <c r="L47" s="1">
        <f t="shared" si="4"/>
        <v>8.1304126337238927</v>
      </c>
    </row>
    <row r="48" spans="1:12" x14ac:dyDescent="0.3">
      <c r="A48" t="s">
        <v>31</v>
      </c>
      <c r="B48" s="1">
        <v>0</v>
      </c>
      <c r="C48" s="1">
        <v>0</v>
      </c>
      <c r="D48" s="1">
        <v>10.771313751941392</v>
      </c>
      <c r="E48" s="1">
        <v>999.47976995342708</v>
      </c>
      <c r="F48">
        <v>7.78</v>
      </c>
      <c r="H48" s="1">
        <f t="shared" si="0"/>
        <v>0</v>
      </c>
      <c r="I48" s="1">
        <f t="shared" si="1"/>
        <v>0</v>
      </c>
      <c r="J48" s="1">
        <f t="shared" si="2"/>
        <v>9.2781542000031578</v>
      </c>
      <c r="K48" s="1">
        <f t="shared" si="3"/>
        <v>62.919111157519566</v>
      </c>
      <c r="L48" s="1">
        <f t="shared" si="4"/>
        <v>7.9266428935303095</v>
      </c>
    </row>
    <row r="49" spans="1:12" x14ac:dyDescent="0.3">
      <c r="A49" t="s">
        <v>64</v>
      </c>
      <c r="B49" s="1">
        <v>17.949541160191433</v>
      </c>
      <c r="C49" s="1">
        <v>90.53536373</v>
      </c>
      <c r="D49" s="1">
        <v>35.93074917549729</v>
      </c>
      <c r="E49" s="1">
        <v>142.52853537045723</v>
      </c>
      <c r="F49">
        <v>26.1</v>
      </c>
      <c r="H49" s="1">
        <f t="shared" si="0"/>
        <v>20.278848742636349</v>
      </c>
      <c r="I49" s="1">
        <f t="shared" si="1"/>
        <v>90.53536373</v>
      </c>
      <c r="J49" s="1">
        <f t="shared" si="2"/>
        <v>36.50664101487591</v>
      </c>
      <c r="K49" s="1">
        <f t="shared" si="3"/>
        <v>94.712164332050733</v>
      </c>
      <c r="L49" s="1">
        <f t="shared" si="4"/>
        <v>26.591951095262356</v>
      </c>
    </row>
    <row r="50" spans="1:12" x14ac:dyDescent="0.3">
      <c r="A50" t="s">
        <v>32</v>
      </c>
      <c r="B50" s="1">
        <v>16.663068137874895</v>
      </c>
      <c r="C50" s="1">
        <v>99.99841447</v>
      </c>
      <c r="D50" s="1">
        <v>45.920099070753736</v>
      </c>
      <c r="E50" s="1">
        <v>418.32068054003236</v>
      </c>
      <c r="F50">
        <v>98.15</v>
      </c>
      <c r="H50" s="1">
        <f t="shared" si="0"/>
        <v>18.825430429699313</v>
      </c>
      <c r="I50" s="1">
        <f t="shared" si="1"/>
        <v>99.99841447</v>
      </c>
      <c r="J50" s="1">
        <f t="shared" si="2"/>
        <v>47.317490993547587</v>
      </c>
      <c r="K50" s="1">
        <f t="shared" si="3"/>
        <v>84.480223490327859</v>
      </c>
      <c r="L50" s="1">
        <f t="shared" si="4"/>
        <v>100</v>
      </c>
    </row>
    <row r="51" spans="1:12" x14ac:dyDescent="0.3">
      <c r="A51" t="s">
        <v>33</v>
      </c>
      <c r="B51" s="1">
        <v>10.508047348889237</v>
      </c>
      <c r="C51" s="1">
        <v>88.011345649999996</v>
      </c>
      <c r="D51" s="1">
        <v>34.006417005618843</v>
      </c>
      <c r="E51" s="1">
        <v>910.63538849905922</v>
      </c>
      <c r="F51">
        <v>5.61</v>
      </c>
      <c r="H51" s="1">
        <f t="shared" si="0"/>
        <v>11.871674092771801</v>
      </c>
      <c r="I51" s="1">
        <f t="shared" si="1"/>
        <v>88.011345649999996</v>
      </c>
      <c r="J51" s="1">
        <f t="shared" si="2"/>
        <v>34.424056400679298</v>
      </c>
      <c r="K51" s="1">
        <f t="shared" si="3"/>
        <v>66.215254543335021</v>
      </c>
      <c r="L51" s="1">
        <f t="shared" si="4"/>
        <v>5.715741212429954</v>
      </c>
    </row>
    <row r="52" spans="1:12" x14ac:dyDescent="0.3">
      <c r="A52" t="s">
        <v>69</v>
      </c>
      <c r="B52" s="1">
        <v>0</v>
      </c>
      <c r="C52" s="1">
        <v>0</v>
      </c>
      <c r="D52" s="1">
        <v>4.8664606847296712</v>
      </c>
      <c r="E52" s="1">
        <v>1731.0688011363657</v>
      </c>
      <c r="F52">
        <v>4.41</v>
      </c>
      <c r="H52" s="1">
        <f t="shared" si="0"/>
        <v>0</v>
      </c>
      <c r="I52" s="1">
        <f t="shared" si="1"/>
        <v>0</v>
      </c>
      <c r="J52" s="1">
        <f t="shared" si="2"/>
        <v>2.8877002340209814</v>
      </c>
      <c r="K52" s="1">
        <f t="shared" si="3"/>
        <v>35.777019482230749</v>
      </c>
      <c r="L52" s="1">
        <f t="shared" si="4"/>
        <v>4.4931227712684665</v>
      </c>
    </row>
    <row r="53" spans="1:12" x14ac:dyDescent="0.3">
      <c r="A53" t="s">
        <v>34</v>
      </c>
      <c r="B53" s="1">
        <v>0</v>
      </c>
      <c r="C53" s="1">
        <v>0</v>
      </c>
      <c r="D53" s="1">
        <v>2.5400315410065386</v>
      </c>
      <c r="E53" s="1">
        <v>1588.298626987737</v>
      </c>
      <c r="F53">
        <v>4.04</v>
      </c>
      <c r="H53" s="1">
        <f t="shared" si="0"/>
        <v>0</v>
      </c>
      <c r="I53" s="1">
        <f t="shared" si="1"/>
        <v>0</v>
      </c>
      <c r="J53" s="1">
        <f t="shared" si="2"/>
        <v>0.36995115900425135</v>
      </c>
      <c r="K53" s="1">
        <f t="shared" si="3"/>
        <v>41.073819994634881</v>
      </c>
      <c r="L53" s="1">
        <f t="shared" si="4"/>
        <v>4.116148751910341</v>
      </c>
    </row>
    <row r="54" spans="1:12" x14ac:dyDescent="0.3">
      <c r="A54" t="s">
        <v>35</v>
      </c>
      <c r="B54" s="1">
        <v>0</v>
      </c>
      <c r="C54" s="1">
        <v>0</v>
      </c>
      <c r="D54" s="1">
        <v>2.1981924091399438</v>
      </c>
      <c r="E54" s="1">
        <v>579.80547792062634</v>
      </c>
      <c r="F54">
        <v>9.19</v>
      </c>
      <c r="H54" s="1">
        <f t="shared" si="0"/>
        <v>0</v>
      </c>
      <c r="I54" s="1">
        <f t="shared" si="1"/>
        <v>0</v>
      </c>
      <c r="J54" s="1">
        <f t="shared" si="2"/>
        <v>0</v>
      </c>
      <c r="K54" s="1">
        <f t="shared" si="3"/>
        <v>78.489106910049998</v>
      </c>
      <c r="L54" s="1">
        <f t="shared" si="4"/>
        <v>9.3632195618950576</v>
      </c>
    </row>
    <row r="55" spans="1:12" x14ac:dyDescent="0.3">
      <c r="A55" t="s">
        <v>75</v>
      </c>
      <c r="B55" s="1">
        <v>40.233719395219111</v>
      </c>
      <c r="C55" s="1">
        <v>55.634479050000003</v>
      </c>
      <c r="D55" s="1">
        <v>59.358807832155733</v>
      </c>
      <c r="E55" s="1">
        <v>130.41526162483908</v>
      </c>
      <c r="F55">
        <v>1.23</v>
      </c>
      <c r="H55" s="1">
        <f t="shared" si="0"/>
        <v>45.454839357053586</v>
      </c>
      <c r="I55" s="1">
        <f t="shared" si="1"/>
        <v>55.63447905000001</v>
      </c>
      <c r="J55" s="1">
        <f t="shared" si="2"/>
        <v>61.861366806283634</v>
      </c>
      <c r="K55" s="1">
        <f t="shared" si="3"/>
        <v>95.161569083185142</v>
      </c>
      <c r="L55" s="1">
        <f t="shared" si="4"/>
        <v>1.2531839021905247</v>
      </c>
    </row>
    <row r="56" spans="1:12" x14ac:dyDescent="0.3">
      <c r="A56" t="s">
        <v>36</v>
      </c>
      <c r="B56" s="1">
        <v>13.393829273489519</v>
      </c>
      <c r="C56" s="1">
        <v>33.79688754</v>
      </c>
      <c r="D56" s="1">
        <v>54.348784218878144</v>
      </c>
      <c r="E56" s="1">
        <v>957.77441657282088</v>
      </c>
      <c r="F56">
        <v>2.4500000000000002</v>
      </c>
      <c r="H56" s="1">
        <f t="shared" si="0"/>
        <v>15.131943234525117</v>
      </c>
      <c r="I56" s="1">
        <f t="shared" si="1"/>
        <v>33.79688754</v>
      </c>
      <c r="J56" s="1">
        <f t="shared" si="2"/>
        <v>56.439330913991348</v>
      </c>
      <c r="K56" s="1">
        <f t="shared" si="3"/>
        <v>64.466387670094392</v>
      </c>
      <c r="L56" s="1">
        <f t="shared" si="4"/>
        <v>2.4961793173713702</v>
      </c>
    </row>
    <row r="57" spans="1:12" x14ac:dyDescent="0.3">
      <c r="A57" t="s">
        <v>37</v>
      </c>
      <c r="B57" s="1">
        <v>5.9221124934240352</v>
      </c>
      <c r="C57" s="1">
        <v>6.1307115220000004</v>
      </c>
      <c r="D57" s="1">
        <v>65.300604892699894</v>
      </c>
      <c r="E57" s="1">
        <v>75.159591808896991</v>
      </c>
      <c r="F57">
        <v>77.41</v>
      </c>
      <c r="H57" s="1">
        <f t="shared" si="0"/>
        <v>6.6906235886055487</v>
      </c>
      <c r="I57" s="1">
        <f t="shared" si="1"/>
        <v>6.1307115220000004</v>
      </c>
      <c r="J57" s="1">
        <f t="shared" si="2"/>
        <v>68.291802950657583</v>
      </c>
      <c r="K57" s="1">
        <f t="shared" si="3"/>
        <v>97.211564902967694</v>
      </c>
      <c r="L57" s="1">
        <f t="shared" si="4"/>
        <v>78.86907794192561</v>
      </c>
    </row>
    <row r="58" spans="1:12" x14ac:dyDescent="0.3">
      <c r="A58" t="s">
        <v>38</v>
      </c>
      <c r="B58" s="1">
        <v>5.3634059347399088</v>
      </c>
      <c r="C58" s="1">
        <v>8.885612278</v>
      </c>
      <c r="D58" s="1">
        <v>69.861806398778015</v>
      </c>
      <c r="E58" s="1">
        <v>331.92428309153399</v>
      </c>
      <c r="F58">
        <v>20.3</v>
      </c>
      <c r="H58" s="1">
        <f t="shared" si="0"/>
        <v>6.0594138159456312</v>
      </c>
      <c r="I58" s="1">
        <f t="shared" si="1"/>
        <v>8.885612278</v>
      </c>
      <c r="J58" s="1">
        <f t="shared" si="2"/>
        <v>73.228106686310838</v>
      </c>
      <c r="K58" s="1">
        <f t="shared" si="3"/>
        <v>87.685546205691892</v>
      </c>
      <c r="L58" s="1">
        <f t="shared" si="4"/>
        <v>20.682628629648498</v>
      </c>
    </row>
    <row r="59" spans="1:12" x14ac:dyDescent="0.3">
      <c r="A59" t="s">
        <v>39</v>
      </c>
      <c r="B59" s="1">
        <v>22.6204530047475</v>
      </c>
      <c r="C59" s="1">
        <v>59.15956748</v>
      </c>
      <c r="D59" s="1">
        <v>48.927489441716098</v>
      </c>
      <c r="E59" s="1">
        <v>630.94846126580262</v>
      </c>
      <c r="F59">
        <v>1.6</v>
      </c>
      <c r="H59" s="1">
        <f t="shared" si="0"/>
        <v>25.555903679060744</v>
      </c>
      <c r="I59" s="1">
        <f t="shared" si="1"/>
        <v>59.15956748</v>
      </c>
      <c r="J59" s="1">
        <f t="shared" si="2"/>
        <v>50.572201907539572</v>
      </c>
      <c r="K59" s="1">
        <f t="shared" si="3"/>
        <v>76.591692537587335</v>
      </c>
      <c r="L59" s="1">
        <f t="shared" si="4"/>
        <v>1.6301579215486499</v>
      </c>
    </row>
    <row r="60" spans="1:12" x14ac:dyDescent="0.3">
      <c r="A60" t="s">
        <v>40</v>
      </c>
      <c r="B60" s="1">
        <v>3.4536400549320065</v>
      </c>
      <c r="C60" s="1">
        <v>33.758072239999997</v>
      </c>
      <c r="D60" s="1">
        <v>44.738943111960502</v>
      </c>
      <c r="E60" s="1">
        <v>2695.4040238873881</v>
      </c>
      <c r="F60">
        <v>0</v>
      </c>
      <c r="H60" s="1">
        <f t="shared" si="0"/>
        <v>3.9018180832835014</v>
      </c>
      <c r="I60" s="1">
        <f t="shared" si="1"/>
        <v>33.758072239999997</v>
      </c>
      <c r="J60" s="1">
        <f t="shared" si="2"/>
        <v>46.039199612644865</v>
      </c>
      <c r="K60" s="1">
        <f t="shared" si="3"/>
        <v>0</v>
      </c>
      <c r="L60" s="1">
        <f t="shared" si="4"/>
        <v>0</v>
      </c>
    </row>
    <row r="61" spans="1:12" x14ac:dyDescent="0.3">
      <c r="A61" t="s">
        <v>41</v>
      </c>
      <c r="B61" s="1">
        <v>5.3344782377739159</v>
      </c>
      <c r="C61" s="1">
        <v>33.011295220000001</v>
      </c>
      <c r="D61" s="1">
        <v>44.535828271833658</v>
      </c>
      <c r="E61" s="1">
        <v>340.63102788526498</v>
      </c>
      <c r="F61">
        <v>23.73</v>
      </c>
      <c r="H61" s="1">
        <f t="shared" si="0"/>
        <v>6.0267321787934121</v>
      </c>
      <c r="I61" s="1">
        <f t="shared" si="1"/>
        <v>33.011295220000001</v>
      </c>
      <c r="J61" s="1">
        <f t="shared" si="2"/>
        <v>45.819381097118054</v>
      </c>
      <c r="K61" s="1">
        <f t="shared" si="3"/>
        <v>87.362524324127222</v>
      </c>
      <c r="L61" s="1">
        <f t="shared" si="4"/>
        <v>24.177279673968417</v>
      </c>
    </row>
    <row r="62" spans="1:12" x14ac:dyDescent="0.3">
      <c r="A62" t="s">
        <v>42</v>
      </c>
      <c r="B62" s="1">
        <v>6.7706974877959709</v>
      </c>
      <c r="C62" s="1">
        <v>33.658923479999999</v>
      </c>
      <c r="D62" s="1">
        <v>54.922707470716091</v>
      </c>
      <c r="E62" s="1">
        <v>204.061250934463</v>
      </c>
      <c r="F62">
        <v>15.63</v>
      </c>
      <c r="H62" s="1">
        <f t="shared" si="0"/>
        <v>7.6493292509154083</v>
      </c>
      <c r="I62" s="1">
        <f t="shared" si="1"/>
        <v>33.658923479999999</v>
      </c>
      <c r="J62" s="1">
        <f t="shared" si="2"/>
        <v>57.060452232190215</v>
      </c>
      <c r="K62" s="1">
        <f t="shared" si="3"/>
        <v>92.429288925666881</v>
      </c>
      <c r="L62" s="1">
        <f t="shared" si="4"/>
        <v>15.924605196128375</v>
      </c>
    </row>
    <row r="63" spans="1:12" x14ac:dyDescent="0.3">
      <c r="A63" t="s">
        <v>65</v>
      </c>
      <c r="B63" s="1">
        <v>12.30041260214648</v>
      </c>
      <c r="C63" s="1">
        <v>14.39727506</v>
      </c>
      <c r="D63" s="1">
        <v>54.763049613100655</v>
      </c>
      <c r="E63" s="1">
        <v>455.35862819376194</v>
      </c>
      <c r="F63">
        <v>7.01</v>
      </c>
      <c r="H63" s="1">
        <f t="shared" si="0"/>
        <v>13.896634148183773</v>
      </c>
      <c r="I63" s="1">
        <f t="shared" si="1"/>
        <v>14.39727506</v>
      </c>
      <c r="J63" s="1">
        <f t="shared" si="2"/>
        <v>56.887664496782506</v>
      </c>
      <c r="K63" s="1">
        <f t="shared" si="3"/>
        <v>83.106108614580506</v>
      </c>
      <c r="L63" s="1">
        <f t="shared" si="4"/>
        <v>7.1421293937850221</v>
      </c>
    </row>
    <row r="64" spans="1:12" x14ac:dyDescent="0.3">
      <c r="A64" t="s">
        <v>43</v>
      </c>
      <c r="B64" s="1">
        <v>0.65332209124536533</v>
      </c>
      <c r="C64" s="1">
        <v>0.35174381300000002</v>
      </c>
      <c r="D64" s="1">
        <v>71.037099013333389</v>
      </c>
      <c r="E64" s="1">
        <v>120.73136280408058</v>
      </c>
      <c r="F64">
        <v>3.96</v>
      </c>
      <c r="H64" s="1">
        <f t="shared" si="0"/>
        <v>0.73810353982587984</v>
      </c>
      <c r="I64" s="1">
        <f t="shared" si="1"/>
        <v>0.35174381300000002</v>
      </c>
      <c r="J64" s="1">
        <f t="shared" si="2"/>
        <v>74.500052535663102</v>
      </c>
      <c r="K64" s="1">
        <f t="shared" si="3"/>
        <v>95.520843564299568</v>
      </c>
      <c r="L64" s="1">
        <f t="shared" si="4"/>
        <v>4.0346408558329081</v>
      </c>
    </row>
    <row r="65" spans="1:12" x14ac:dyDescent="0.3">
      <c r="A65" t="s">
        <v>44</v>
      </c>
      <c r="B65" s="1">
        <v>51.895915951440728</v>
      </c>
      <c r="C65" s="1">
        <v>76.418551780000001</v>
      </c>
      <c r="D65" s="1">
        <v>63.816939864930369</v>
      </c>
      <c r="E65" s="1">
        <v>171.72498918996837</v>
      </c>
      <c r="F65">
        <v>0.11</v>
      </c>
      <c r="H65" s="1">
        <f t="shared" si="0"/>
        <v>58.630436318552206</v>
      </c>
      <c r="I65" s="1">
        <f t="shared" si="1"/>
        <v>76.418551780000001</v>
      </c>
      <c r="J65" s="1">
        <f t="shared" si="2"/>
        <v>66.686124883315628</v>
      </c>
      <c r="K65" s="1">
        <f t="shared" si="3"/>
        <v>93.628970363326019</v>
      </c>
      <c r="L65" s="1">
        <f t="shared" si="4"/>
        <v>0.11207335710646969</v>
      </c>
    </row>
    <row r="66" spans="1:12" x14ac:dyDescent="0.3">
      <c r="A66" t="s">
        <v>45</v>
      </c>
      <c r="B66" s="1">
        <v>3.5490788695611188</v>
      </c>
      <c r="C66" s="1">
        <v>3.5682988290000002</v>
      </c>
      <c r="D66" s="1">
        <v>75.144597435536582</v>
      </c>
      <c r="E66" s="1">
        <v>398.39152328997056</v>
      </c>
      <c r="F66">
        <v>8.56</v>
      </c>
      <c r="H66" s="1">
        <f t="shared" si="0"/>
        <v>4.0096419696306684</v>
      </c>
      <c r="I66" s="1">
        <f t="shared" si="1"/>
        <v>3.5682988290000002</v>
      </c>
      <c r="J66" s="1">
        <f t="shared" si="2"/>
        <v>78.945341738232315</v>
      </c>
      <c r="K66" s="1">
        <f t="shared" si="3"/>
        <v>85.219599000397764</v>
      </c>
      <c r="L66" s="1">
        <f t="shared" si="4"/>
        <v>8.7213448802852778</v>
      </c>
    </row>
    <row r="67" spans="1:12" x14ac:dyDescent="0.3">
      <c r="A67" t="s">
        <v>46</v>
      </c>
      <c r="B67" s="1">
        <v>17.071576026305017</v>
      </c>
      <c r="C67" s="1">
        <v>24.1381707</v>
      </c>
      <c r="D67" s="1">
        <v>67.97439754473011</v>
      </c>
      <c r="E67" s="1">
        <v>453.41467078117535</v>
      </c>
      <c r="F67">
        <v>3.28</v>
      </c>
      <c r="H67" s="1">
        <f t="shared" ref="H67:H84" si="5">100*((B67-MIN($B$2:$B$85))/(MAX($B$2:$B$85)-MIN($B$2:$B$85)))</f>
        <v>19.286950287266517</v>
      </c>
      <c r="I67" s="1">
        <f t="shared" ref="I67:I85" si="6">100*((C67-MIN($C$2:$C$85))/(MAX($C$2:$C$85)-MIN($C$2:$C$85)))</f>
        <v>24.1381707</v>
      </c>
      <c r="J67" s="1">
        <f t="shared" ref="J67:J85" si="7">100*((D67-MIN($D$2:$D$85))/(MAX($D$2:$D$85)-MIN($D$2:$D$85)))</f>
        <v>71.185481872536144</v>
      </c>
      <c r="K67" s="1">
        <f t="shared" ref="K67:K85" si="8">100*((MAX($E$2:$E$85)-E67)/(MAX($E$2:$E$85)-MIN($E$2:$E$85)))</f>
        <v>83.178229802920299</v>
      </c>
      <c r="L67" s="1">
        <f t="shared" ref="L67:L85" si="9">100*((F67-MIN($F$2:$F$85))/(MAX($F$2:$F$85)-MIN($F$2:$F$85)))</f>
        <v>3.3418237391747319</v>
      </c>
    </row>
    <row r="68" spans="1:12" x14ac:dyDescent="0.3">
      <c r="A68" t="s">
        <v>47</v>
      </c>
      <c r="B68" s="1">
        <v>11.49796068675017</v>
      </c>
      <c r="C68" s="1">
        <v>32.282326419999997</v>
      </c>
      <c r="D68" s="1">
        <v>54.598154222271177</v>
      </c>
      <c r="E68" s="1">
        <v>539.87556099087101</v>
      </c>
      <c r="F68">
        <v>4.87</v>
      </c>
      <c r="H68" s="1">
        <f t="shared" si="5"/>
        <v>12.990048243266578</v>
      </c>
      <c r="I68" s="1">
        <f t="shared" si="6"/>
        <v>32.282326419999997</v>
      </c>
      <c r="J68" s="1">
        <f t="shared" si="7"/>
        <v>56.709208506039964</v>
      </c>
      <c r="K68" s="1">
        <f t="shared" si="8"/>
        <v>79.970514393896067</v>
      </c>
      <c r="L68" s="1">
        <f t="shared" si="9"/>
        <v>4.961793173713704</v>
      </c>
    </row>
    <row r="69" spans="1:12" x14ac:dyDescent="0.3">
      <c r="A69" t="s">
        <v>48</v>
      </c>
      <c r="B69" s="1">
        <v>7.7563189579168492</v>
      </c>
      <c r="C69" s="1">
        <v>16.490330740000001</v>
      </c>
      <c r="D69" s="1">
        <v>56.072271858055444</v>
      </c>
      <c r="E69" s="1">
        <v>75.826403364417615</v>
      </c>
      <c r="F69">
        <v>14.4</v>
      </c>
      <c r="H69" s="1">
        <f t="shared" si="5"/>
        <v>8.76285457903934</v>
      </c>
      <c r="I69" s="1">
        <f t="shared" si="6"/>
        <v>16.490330740000001</v>
      </c>
      <c r="J69" s="1">
        <f t="shared" si="7"/>
        <v>58.304554026867649</v>
      </c>
      <c r="K69" s="1">
        <f t="shared" si="8"/>
        <v>97.186826067913231</v>
      </c>
      <c r="L69" s="1">
        <f t="shared" si="9"/>
        <v>14.671421293937851</v>
      </c>
    </row>
    <row r="70" spans="1:12" x14ac:dyDescent="0.3">
      <c r="A70" t="s">
        <v>49</v>
      </c>
      <c r="B70" s="1">
        <v>11.050046806643811</v>
      </c>
      <c r="C70" s="1">
        <v>28.167669140000001</v>
      </c>
      <c r="D70" s="1">
        <v>58.581387667240911</v>
      </c>
      <c r="E70" s="1">
        <v>709.77686383778973</v>
      </c>
      <c r="F70">
        <v>2.37</v>
      </c>
      <c r="H70" s="1">
        <f t="shared" si="5"/>
        <v>12.484008688085696</v>
      </c>
      <c r="I70" s="1">
        <f t="shared" si="6"/>
        <v>28.167669140000001</v>
      </c>
      <c r="J70" s="1">
        <f t="shared" si="7"/>
        <v>61.020013478848448</v>
      </c>
      <c r="K70" s="1">
        <f t="shared" si="8"/>
        <v>73.66714386609361</v>
      </c>
      <c r="L70" s="1">
        <f t="shared" si="9"/>
        <v>2.4146714212939377</v>
      </c>
    </row>
    <row r="71" spans="1:12" x14ac:dyDescent="0.3">
      <c r="A71" t="s">
        <v>50</v>
      </c>
      <c r="B71" s="1">
        <v>41.863742399681939</v>
      </c>
      <c r="C71" s="1">
        <v>54.852023490000001</v>
      </c>
      <c r="D71" s="1">
        <v>75.350466638813558</v>
      </c>
      <c r="E71" s="1">
        <v>333.93273436175616</v>
      </c>
      <c r="F71">
        <v>6.19</v>
      </c>
      <c r="H71" s="1">
        <f t="shared" si="5"/>
        <v>47.296390049604369</v>
      </c>
      <c r="I71" s="1">
        <f t="shared" si="6"/>
        <v>54.852023490000001</v>
      </c>
      <c r="J71" s="1">
        <f t="shared" si="7"/>
        <v>79.168141129102878</v>
      </c>
      <c r="K71" s="1">
        <f t="shared" si="8"/>
        <v>87.611032283013785</v>
      </c>
      <c r="L71" s="1">
        <f t="shared" si="9"/>
        <v>6.3066734589913391</v>
      </c>
    </row>
    <row r="72" spans="1:12" x14ac:dyDescent="0.3">
      <c r="A72" t="s">
        <v>51</v>
      </c>
      <c r="B72" s="1">
        <v>4.5823783427984006</v>
      </c>
      <c r="C72" s="1">
        <v>4.5792657349999999</v>
      </c>
      <c r="D72" s="1">
        <v>59.95678973990254</v>
      </c>
      <c r="E72" s="1">
        <v>672.15060391275529</v>
      </c>
      <c r="F72">
        <v>14.81</v>
      </c>
      <c r="H72" s="1">
        <f t="shared" si="5"/>
        <v>5.1770324637173255</v>
      </c>
      <c r="I72" s="1">
        <f t="shared" si="6"/>
        <v>4.5792657349999999</v>
      </c>
      <c r="J72" s="1">
        <f t="shared" si="7"/>
        <v>62.508525306325801</v>
      </c>
      <c r="K72" s="1">
        <f t="shared" si="8"/>
        <v>75.063085238577315</v>
      </c>
      <c r="L72" s="1">
        <f t="shared" si="9"/>
        <v>15.089149261334692</v>
      </c>
    </row>
    <row r="73" spans="1:12" x14ac:dyDescent="0.3">
      <c r="A73" t="s">
        <v>52</v>
      </c>
      <c r="B73" s="1">
        <v>16.047633628957545</v>
      </c>
      <c r="C73" s="1">
        <v>21.208758240000002</v>
      </c>
      <c r="D73" s="1">
        <v>74.472585495505243</v>
      </c>
      <c r="E73" s="1">
        <v>642.49912549191095</v>
      </c>
      <c r="F73">
        <v>11.35</v>
      </c>
      <c r="H73" s="1">
        <f t="shared" si="5"/>
        <v>18.130131134527776</v>
      </c>
      <c r="I73" s="1">
        <f t="shared" si="6"/>
        <v>21.208758240000002</v>
      </c>
      <c r="J73" s="1">
        <f t="shared" si="7"/>
        <v>78.218065154297179</v>
      </c>
      <c r="K73" s="1">
        <f t="shared" si="8"/>
        <v>76.163160706227615</v>
      </c>
      <c r="L73" s="1">
        <f t="shared" si="9"/>
        <v>11.563932755985736</v>
      </c>
    </row>
    <row r="74" spans="1:12" x14ac:dyDescent="0.3">
      <c r="A74" t="s">
        <v>53</v>
      </c>
      <c r="B74" s="1">
        <v>30.231748225592082</v>
      </c>
      <c r="C74" s="1">
        <v>55.601304419999998</v>
      </c>
      <c r="D74" s="1">
        <v>63.635533500926968</v>
      </c>
      <c r="E74" s="1">
        <v>262.18472121246003</v>
      </c>
      <c r="F74">
        <v>16.25</v>
      </c>
      <c r="H74" s="1">
        <f t="shared" si="5"/>
        <v>34.154914826007079</v>
      </c>
      <c r="I74" s="1">
        <f t="shared" si="6"/>
        <v>55.601304419999998</v>
      </c>
      <c r="J74" s="1">
        <f t="shared" si="7"/>
        <v>66.489800096719804</v>
      </c>
      <c r="K74" s="1">
        <f t="shared" si="8"/>
        <v>90.272897165363375</v>
      </c>
      <c r="L74" s="1">
        <f t="shared" si="9"/>
        <v>16.556291390728475</v>
      </c>
    </row>
    <row r="75" spans="1:12" x14ac:dyDescent="0.3">
      <c r="A75" t="s">
        <v>54</v>
      </c>
      <c r="B75" s="1">
        <v>1.765559399055032</v>
      </c>
      <c r="C75" s="1">
        <v>8.4968498360000009</v>
      </c>
      <c r="D75" s="1">
        <v>47.454466091333373</v>
      </c>
      <c r="E75" s="1">
        <v>201.01638651685386</v>
      </c>
      <c r="F75">
        <v>4.9000000000000004</v>
      </c>
      <c r="H75" s="1">
        <f t="shared" si="5"/>
        <v>1.9946756120419449</v>
      </c>
      <c r="I75" s="1">
        <f t="shared" si="6"/>
        <v>8.4968498360000009</v>
      </c>
      <c r="J75" s="1">
        <f t="shared" si="7"/>
        <v>48.978040663510072</v>
      </c>
      <c r="K75" s="1">
        <f t="shared" si="8"/>
        <v>92.54225397248824</v>
      </c>
      <c r="L75" s="1">
        <f t="shared" si="9"/>
        <v>4.9923586347427404</v>
      </c>
    </row>
    <row r="76" spans="1:12" x14ac:dyDescent="0.3">
      <c r="A76" t="s">
        <v>55</v>
      </c>
      <c r="B76" s="1">
        <v>0</v>
      </c>
      <c r="C76" s="1">
        <v>0</v>
      </c>
      <c r="D76" s="1">
        <v>38.792204264973677</v>
      </c>
      <c r="E76" s="1">
        <v>265.82573250804279</v>
      </c>
      <c r="F76">
        <v>0</v>
      </c>
      <c r="H76" s="1">
        <f t="shared" si="5"/>
        <v>0</v>
      </c>
      <c r="I76" s="1">
        <f t="shared" si="6"/>
        <v>0</v>
      </c>
      <c r="J76" s="1">
        <f t="shared" si="7"/>
        <v>39.603415281209841</v>
      </c>
      <c r="K76" s="1">
        <f t="shared" si="8"/>
        <v>90.137814956413791</v>
      </c>
      <c r="L76" s="1">
        <f t="shared" si="9"/>
        <v>0</v>
      </c>
    </row>
    <row r="77" spans="1:12" x14ac:dyDescent="0.3">
      <c r="A77" t="s">
        <v>56</v>
      </c>
      <c r="B77" s="1">
        <v>10.648538366377887</v>
      </c>
      <c r="C77" s="1">
        <v>21.40451594</v>
      </c>
      <c r="D77" s="1">
        <v>60.344449386153499</v>
      </c>
      <c r="E77" s="1">
        <v>156.15045762951428</v>
      </c>
      <c r="F77">
        <v>0</v>
      </c>
      <c r="G77">
        <v>845.43</v>
      </c>
      <c r="H77" s="1">
        <f t="shared" si="5"/>
        <v>12.030396595365344</v>
      </c>
      <c r="I77" s="1">
        <f t="shared" si="6"/>
        <v>21.40451594</v>
      </c>
      <c r="J77" s="1">
        <f t="shared" si="7"/>
        <v>62.928065148492529</v>
      </c>
      <c r="K77" s="1">
        <f t="shared" si="8"/>
        <v>94.206788435215387</v>
      </c>
      <c r="L77" s="1">
        <f t="shared" si="9"/>
        <v>0</v>
      </c>
    </row>
    <row r="78" spans="1:12" x14ac:dyDescent="0.3">
      <c r="A78" t="s">
        <v>57</v>
      </c>
      <c r="B78" s="1">
        <v>15.275191497600032</v>
      </c>
      <c r="C78" s="1">
        <v>20.172389450000001</v>
      </c>
      <c r="D78" s="1">
        <v>69.773769833403833</v>
      </c>
      <c r="E78" s="1">
        <v>0</v>
      </c>
      <c r="F78" s="1">
        <v>0</v>
      </c>
      <c r="H78" s="1">
        <f t="shared" si="5"/>
        <v>17.257449376011362</v>
      </c>
      <c r="I78" s="1">
        <f t="shared" si="6"/>
        <v>20.172389450000001</v>
      </c>
      <c r="J78" s="1">
        <f t="shared" si="7"/>
        <v>73.132830205771327</v>
      </c>
      <c r="K78" s="1">
        <f t="shared" si="8"/>
        <v>100</v>
      </c>
      <c r="L78" s="1">
        <f t="shared" si="9"/>
        <v>0</v>
      </c>
    </row>
    <row r="79" spans="1:12" x14ac:dyDescent="0.3">
      <c r="A79" t="s">
        <v>70</v>
      </c>
      <c r="B79" s="1">
        <v>71.310729511422721</v>
      </c>
      <c r="C79" s="1">
        <v>72.533018620000007</v>
      </c>
      <c r="D79" s="1">
        <v>84.594451519228585</v>
      </c>
      <c r="E79" s="1">
        <v>0.20777333817653468</v>
      </c>
      <c r="F79">
        <v>0</v>
      </c>
      <c r="H79" s="1">
        <f t="shared" si="5"/>
        <v>80.564705503244895</v>
      </c>
      <c r="I79" s="1">
        <f t="shared" si="6"/>
        <v>72.533018620000007</v>
      </c>
      <c r="J79" s="1">
        <f t="shared" si="7"/>
        <v>89.172329068773649</v>
      </c>
      <c r="K79" s="1">
        <f t="shared" si="8"/>
        <v>99.992291569785635</v>
      </c>
      <c r="L79" s="1">
        <f t="shared" si="9"/>
        <v>0</v>
      </c>
    </row>
    <row r="80" spans="1:12" x14ac:dyDescent="0.3">
      <c r="A80" t="s">
        <v>82</v>
      </c>
      <c r="B80" s="1">
        <v>30.078728842242302</v>
      </c>
      <c r="C80" s="1">
        <v>39.459043880000003</v>
      </c>
      <c r="D80" s="1">
        <v>89.598600996132944</v>
      </c>
      <c r="E80" s="1">
        <v>662.81932349883095</v>
      </c>
      <c r="F80">
        <v>1.33</v>
      </c>
      <c r="H80" s="1">
        <f t="shared" si="5"/>
        <v>33.982038154567498</v>
      </c>
      <c r="I80" s="1">
        <f t="shared" si="6"/>
        <v>39.459043880000003</v>
      </c>
      <c r="J80" s="1">
        <f t="shared" si="7"/>
        <v>94.588007749860878</v>
      </c>
      <c r="K80" s="1">
        <f t="shared" si="8"/>
        <v>75.409277509985529</v>
      </c>
      <c r="L80" s="1">
        <f t="shared" si="9"/>
        <v>1.3550687722873151</v>
      </c>
    </row>
    <row r="81" spans="1:12" x14ac:dyDescent="0.3">
      <c r="A81" t="s">
        <v>76</v>
      </c>
      <c r="B81" s="1">
        <v>50.443407201511938</v>
      </c>
      <c r="C81" s="1">
        <v>78.980023020000004</v>
      </c>
      <c r="D81" s="1">
        <v>57.956499820488986</v>
      </c>
      <c r="E81" s="1">
        <v>284.37738395862556</v>
      </c>
      <c r="F81">
        <v>22.11</v>
      </c>
      <c r="H81" s="1">
        <f t="shared" si="5"/>
        <v>56.989435862089977</v>
      </c>
      <c r="I81" s="1">
        <f t="shared" si="6"/>
        <v>78.980023020000004</v>
      </c>
      <c r="J81" s="1">
        <f t="shared" si="7"/>
        <v>60.343736360160449</v>
      </c>
      <c r="K81" s="1">
        <f t="shared" si="8"/>
        <v>89.449545172508564</v>
      </c>
      <c r="L81" s="1">
        <f t="shared" si="9"/>
        <v>22.526744778400406</v>
      </c>
    </row>
    <row r="82" spans="1:12" x14ac:dyDescent="0.3">
      <c r="A82" t="s">
        <v>58</v>
      </c>
      <c r="B82" s="1">
        <v>14.745874414093308</v>
      </c>
      <c r="C82" s="1">
        <v>52.562207620000002</v>
      </c>
      <c r="D82" s="1">
        <v>45.807695005378086</v>
      </c>
      <c r="E82" s="1">
        <v>331.9707285441383</v>
      </c>
      <c r="F82">
        <v>12</v>
      </c>
      <c r="H82" s="1">
        <f t="shared" si="5"/>
        <v>16.659442943561039</v>
      </c>
      <c r="I82" s="1">
        <f t="shared" si="6"/>
        <v>52.562207620000002</v>
      </c>
      <c r="J82" s="1">
        <f t="shared" si="7"/>
        <v>47.195843088477602</v>
      </c>
      <c r="K82" s="1">
        <f t="shared" si="8"/>
        <v>87.683823070599985</v>
      </c>
      <c r="L82" s="1">
        <f t="shared" si="9"/>
        <v>12.226184411614874</v>
      </c>
    </row>
    <row r="83" spans="1:12" x14ac:dyDescent="0.3">
      <c r="A83" t="s">
        <v>59</v>
      </c>
      <c r="B83" s="1">
        <v>58.917962825797254</v>
      </c>
      <c r="C83" s="1">
        <v>66.348183030000001</v>
      </c>
      <c r="D83" s="1">
        <v>94.59934416838243</v>
      </c>
      <c r="E83" s="1">
        <v>167.67228788842348</v>
      </c>
      <c r="F83">
        <v>0.24</v>
      </c>
      <c r="H83" s="1">
        <f t="shared" si="5"/>
        <v>66.563732504673752</v>
      </c>
      <c r="I83" s="1">
        <f t="shared" si="6"/>
        <v>66.348183030000001</v>
      </c>
      <c r="J83" s="1">
        <f t="shared" si="7"/>
        <v>100</v>
      </c>
      <c r="K83" s="1">
        <f t="shared" si="8"/>
        <v>93.779326349502085</v>
      </c>
      <c r="L83" s="1">
        <f t="shared" si="9"/>
        <v>0.24452368823229745</v>
      </c>
    </row>
    <row r="84" spans="1:12" x14ac:dyDescent="0.3">
      <c r="A84" t="s">
        <v>60</v>
      </c>
      <c r="B84" s="1">
        <v>7.2463320604933408</v>
      </c>
      <c r="C84" s="1">
        <v>13.14741151</v>
      </c>
      <c r="D84" s="1">
        <v>64.148527879033026</v>
      </c>
      <c r="E84" s="1">
        <v>294.44955509924699</v>
      </c>
      <c r="F84">
        <v>6.85</v>
      </c>
      <c r="H84" s="1">
        <f t="shared" si="5"/>
        <v>8.1866868062099059</v>
      </c>
      <c r="I84" s="1">
        <f t="shared" si="6"/>
        <v>13.147411509999998</v>
      </c>
      <c r="J84" s="1">
        <f t="shared" si="7"/>
        <v>67.044981897313278</v>
      </c>
      <c r="K84" s="1">
        <f t="shared" si="8"/>
        <v>89.075865714759033</v>
      </c>
      <c r="L84" s="1">
        <f t="shared" si="9"/>
        <v>6.9791136016301571</v>
      </c>
    </row>
    <row r="85" spans="1:12" x14ac:dyDescent="0.3">
      <c r="A85" t="s">
        <v>66</v>
      </c>
      <c r="B85" s="1">
        <v>13.394664606261427</v>
      </c>
      <c r="C85" s="1">
        <v>35.337413060000003</v>
      </c>
      <c r="D85" s="1">
        <v>54.616254048373456</v>
      </c>
      <c r="E85" s="1">
        <v>843.97663175785851</v>
      </c>
      <c r="F85">
        <v>1.55</v>
      </c>
      <c r="H85" s="1">
        <f>100*((B85-MIN($B$2:$B$85))/(MAX($B$2:$B$85)-MIN($B$2:$B$85)))</f>
        <v>15.132886968227282</v>
      </c>
      <c r="I85" s="1">
        <f t="shared" si="6"/>
        <v>35.337413060000003</v>
      </c>
      <c r="J85" s="1">
        <f t="shared" si="7"/>
        <v>56.728796818260832</v>
      </c>
      <c r="K85" s="1">
        <f t="shared" si="8"/>
        <v>68.688307048653456</v>
      </c>
      <c r="L85" s="1">
        <f t="shared" si="9"/>
        <v>1.5792154865002548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IDAC</vt:lpstr>
      <vt:lpstr>Cal</vt:lpstr>
      <vt:lpstr>Norm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Teresita Yanancy Navarro Cerdas</dc:creator>
  <cp:lastModifiedBy>Teresita Yanancy Navarro Cerdas</cp:lastModifiedBy>
  <dcterms:created xsi:type="dcterms:W3CDTF">2025-10-27T19:44:53Z</dcterms:created>
  <dcterms:modified xsi:type="dcterms:W3CDTF">2025-10-27T20:43:21Z</dcterms:modified>
</cp:coreProperties>
</file>
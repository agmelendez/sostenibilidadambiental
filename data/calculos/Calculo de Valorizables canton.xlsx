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yany_\Documents\II-2025\Practica profesional II\EPI-Ambiente\Mis documentos\Environmental Health HLT - Waste Managment\"/>
    </mc:Choice>
  </mc:AlternateContent>
  <xr:revisionPtr revIDLastSave="0" documentId="13_ncr:1_{13767162-1344-42DA-A042-40AA98371188}" xr6:coauthVersionLast="47" xr6:coauthVersionMax="47" xr10:uidLastSave="{00000000-0000-0000-0000-000000000000}"/>
  <bookViews>
    <workbookView xWindow="-96" yWindow="0" windowWidth="11712" windowHeight="12336" firstSheet="5" activeTab="6" xr2:uid="{35735BC3-66BA-48B7-9BD3-BA92687729DE}"/>
  </bookViews>
  <sheets>
    <sheet name="Total" sheetId="1" r:id="rId1"/>
    <sheet name="San Jose" sheetId="2" r:id="rId2"/>
    <sheet name="Alajuela" sheetId="3" r:id="rId3"/>
    <sheet name="Cartago" sheetId="4" r:id="rId4"/>
    <sheet name="Heredia" sheetId="5" r:id="rId5"/>
    <sheet name="Guanacaste" sheetId="6" r:id="rId6"/>
    <sheet name="Puntarenas" sheetId="7" r:id="rId7"/>
    <sheet name="Limon" sheetId="8" r:id="rId8"/>
    <sheet name="Sheet1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7" l="1"/>
  <c r="F15" i="7" s="1"/>
  <c r="G15" i="7" s="1"/>
  <c r="F18" i="3"/>
  <c r="G18" i="3"/>
  <c r="E18" i="3"/>
  <c r="F22" i="2"/>
  <c r="G22" i="2"/>
  <c r="E3" i="9"/>
  <c r="E4" i="9"/>
  <c r="E5" i="9"/>
  <c r="E6" i="9"/>
  <c r="E7" i="9"/>
  <c r="E8" i="9"/>
  <c r="E2" i="9"/>
  <c r="C3" i="9"/>
  <c r="C4" i="9"/>
  <c r="C5" i="9"/>
  <c r="C6" i="9"/>
  <c r="C7" i="9"/>
  <c r="D7" i="9" s="1"/>
  <c r="C8" i="9"/>
  <c r="D8" i="9" s="1"/>
  <c r="B9" i="9"/>
  <c r="C2" i="9"/>
  <c r="C9" i="9" s="1"/>
  <c r="B11" i="9"/>
  <c r="D22" i="8"/>
  <c r="C22" i="7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3" i="4"/>
  <c r="D4" i="4"/>
  <c r="D5" i="4"/>
  <c r="D6" i="4"/>
  <c r="D7" i="4"/>
  <c r="D8" i="4"/>
  <c r="D9" i="4"/>
  <c r="D3" i="5"/>
  <c r="D4" i="5"/>
  <c r="D5" i="5"/>
  <c r="D6" i="5"/>
  <c r="D7" i="5"/>
  <c r="D8" i="5"/>
  <c r="D9" i="5"/>
  <c r="D10" i="5"/>
  <c r="D11" i="5"/>
  <c r="D3" i="6"/>
  <c r="D4" i="6"/>
  <c r="D5" i="6"/>
  <c r="D6" i="6"/>
  <c r="D7" i="6"/>
  <c r="D8" i="6"/>
  <c r="D9" i="6"/>
  <c r="D10" i="6"/>
  <c r="D11" i="6"/>
  <c r="D12" i="6"/>
  <c r="D3" i="7"/>
  <c r="D4" i="7"/>
  <c r="D5" i="7"/>
  <c r="D6" i="7"/>
  <c r="D7" i="7"/>
  <c r="D8" i="7"/>
  <c r="D9" i="7"/>
  <c r="D10" i="7"/>
  <c r="D11" i="7"/>
  <c r="D12" i="7"/>
  <c r="D13" i="7"/>
  <c r="D14" i="7"/>
  <c r="G3" i="8"/>
  <c r="G4" i="8"/>
  <c r="G5" i="8"/>
  <c r="G6" i="8"/>
  <c r="G7" i="8"/>
  <c r="F3" i="8"/>
  <c r="F4" i="8"/>
  <c r="F5" i="8"/>
  <c r="F6" i="8"/>
  <c r="F7" i="8"/>
  <c r="E3" i="8"/>
  <c r="E4" i="8"/>
  <c r="E5" i="8"/>
  <c r="E6" i="8"/>
  <c r="E8" i="8" s="1"/>
  <c r="E7" i="8"/>
  <c r="D3" i="8"/>
  <c r="D4" i="8"/>
  <c r="D5" i="8"/>
  <c r="D6" i="8"/>
  <c r="D7" i="8"/>
  <c r="G3" i="7"/>
  <c r="G4" i="7"/>
  <c r="G5" i="7"/>
  <c r="G6" i="7"/>
  <c r="G7" i="7"/>
  <c r="G8" i="7"/>
  <c r="G9" i="7"/>
  <c r="G10" i="7"/>
  <c r="G11" i="7"/>
  <c r="G12" i="7"/>
  <c r="G13" i="7"/>
  <c r="G14" i="7"/>
  <c r="F3" i="7"/>
  <c r="F4" i="7"/>
  <c r="F5" i="7"/>
  <c r="F6" i="7"/>
  <c r="F7" i="7"/>
  <c r="F8" i="7"/>
  <c r="F9" i="7"/>
  <c r="F10" i="7"/>
  <c r="F11" i="7"/>
  <c r="F12" i="7"/>
  <c r="F13" i="7"/>
  <c r="F14" i="7"/>
  <c r="E3" i="7"/>
  <c r="E4" i="7"/>
  <c r="E5" i="7"/>
  <c r="E6" i="7"/>
  <c r="E7" i="7"/>
  <c r="E8" i="7"/>
  <c r="E9" i="7"/>
  <c r="E10" i="7"/>
  <c r="E11" i="7"/>
  <c r="E12" i="7"/>
  <c r="E13" i="7"/>
  <c r="E14" i="7"/>
  <c r="E10" i="4"/>
  <c r="F10" i="4"/>
  <c r="E12" i="5"/>
  <c r="F12" i="5"/>
  <c r="E13" i="6"/>
  <c r="F13" i="6"/>
  <c r="G3" i="6"/>
  <c r="G4" i="6"/>
  <c r="G5" i="6"/>
  <c r="G6" i="6"/>
  <c r="G7" i="6"/>
  <c r="G8" i="6"/>
  <c r="G9" i="6"/>
  <c r="G10" i="6"/>
  <c r="G11" i="6"/>
  <c r="G12" i="6"/>
  <c r="F3" i="6"/>
  <c r="F4" i="6"/>
  <c r="F5" i="6"/>
  <c r="F6" i="6"/>
  <c r="F7" i="6"/>
  <c r="F8" i="6"/>
  <c r="F9" i="6"/>
  <c r="F10" i="6"/>
  <c r="F11" i="6"/>
  <c r="F12" i="6"/>
  <c r="E3" i="6"/>
  <c r="E4" i="6"/>
  <c r="E5" i="6"/>
  <c r="E6" i="6"/>
  <c r="E7" i="6"/>
  <c r="E8" i="6"/>
  <c r="E9" i="6"/>
  <c r="E10" i="6"/>
  <c r="E11" i="6"/>
  <c r="E12" i="6"/>
  <c r="G3" i="5"/>
  <c r="G4" i="5"/>
  <c r="G5" i="5"/>
  <c r="G6" i="5"/>
  <c r="G7" i="5"/>
  <c r="G8" i="5"/>
  <c r="G9" i="5"/>
  <c r="G10" i="5"/>
  <c r="G11" i="5"/>
  <c r="F3" i="5"/>
  <c r="F4" i="5"/>
  <c r="F5" i="5"/>
  <c r="F6" i="5"/>
  <c r="F7" i="5"/>
  <c r="F8" i="5"/>
  <c r="F9" i="5"/>
  <c r="F10" i="5"/>
  <c r="F11" i="5"/>
  <c r="E3" i="5"/>
  <c r="E4" i="5"/>
  <c r="E5" i="5"/>
  <c r="E6" i="5"/>
  <c r="E7" i="5"/>
  <c r="E8" i="5"/>
  <c r="E9" i="5"/>
  <c r="E10" i="5"/>
  <c r="E11" i="5"/>
  <c r="E2" i="8"/>
  <c r="F2" i="8" s="1"/>
  <c r="G2" i="8" s="1"/>
  <c r="E2" i="7"/>
  <c r="F2" i="7" s="1"/>
  <c r="G2" i="7" s="1"/>
  <c r="E2" i="6"/>
  <c r="F2" i="6" s="1"/>
  <c r="G2" i="6" s="1"/>
  <c r="G13" i="6" s="1"/>
  <c r="E2" i="5"/>
  <c r="F2" i="5" s="1"/>
  <c r="G2" i="5" s="1"/>
  <c r="G12" i="5" s="1"/>
  <c r="G3" i="4"/>
  <c r="G4" i="4"/>
  <c r="G5" i="4"/>
  <c r="G6" i="4"/>
  <c r="G7" i="4"/>
  <c r="G8" i="4"/>
  <c r="G9" i="4"/>
  <c r="F3" i="4"/>
  <c r="F4" i="4"/>
  <c r="F5" i="4"/>
  <c r="F6" i="4"/>
  <c r="F7" i="4"/>
  <c r="F8" i="4"/>
  <c r="F9" i="4"/>
  <c r="E3" i="4"/>
  <c r="E4" i="4"/>
  <c r="E5" i="4"/>
  <c r="E6" i="4"/>
  <c r="E7" i="4"/>
  <c r="E8" i="4"/>
  <c r="E9" i="4"/>
  <c r="E2" i="4"/>
  <c r="F2" i="4" s="1"/>
  <c r="G2" i="4" s="1"/>
  <c r="G10" i="4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E10" i="3"/>
  <c r="F10" i="3" s="1"/>
  <c r="E11" i="3"/>
  <c r="F11" i="3" s="1"/>
  <c r="D2" i="8"/>
  <c r="D2" i="7"/>
  <c r="D2" i="6"/>
  <c r="D2" i="5"/>
  <c r="D2" i="4"/>
  <c r="D2" i="3"/>
  <c r="C2" i="7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C22" i="4"/>
  <c r="C22" i="8"/>
  <c r="C22" i="3"/>
  <c r="E12" i="3" s="1"/>
  <c r="F12" i="3" s="1"/>
  <c r="C22" i="2"/>
  <c r="E3" i="2" s="1"/>
  <c r="F3" i="2" s="1"/>
  <c r="G3" i="2" s="1"/>
  <c r="D3" i="9"/>
  <c r="D4" i="9"/>
  <c r="D5" i="9"/>
  <c r="D6" i="9"/>
  <c r="C22" i="5"/>
  <c r="C22" i="6"/>
  <c r="D67" i="1"/>
  <c r="C67" i="1"/>
  <c r="D62" i="1"/>
  <c r="C62" i="1"/>
  <c r="E62" i="1" s="1"/>
  <c r="C43" i="1"/>
  <c r="E43" i="1" s="1"/>
  <c r="D43" i="1"/>
  <c r="E47" i="1"/>
  <c r="E46" i="1"/>
  <c r="D41" i="1"/>
  <c r="C41" i="1"/>
  <c r="E40" i="1"/>
  <c r="C23" i="1"/>
  <c r="D2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1" i="1"/>
  <c r="E42" i="1"/>
  <c r="E44" i="1"/>
  <c r="E45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3" i="1"/>
  <c r="E64" i="1"/>
  <c r="E65" i="1"/>
  <c r="E66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3" i="1"/>
  <c r="E2" i="1"/>
  <c r="G8" i="8" l="1"/>
  <c r="D2" i="9"/>
  <c r="D9" i="9" s="1"/>
  <c r="E5" i="3"/>
  <c r="F5" i="3" s="1"/>
  <c r="E16" i="3"/>
  <c r="F16" i="3" s="1"/>
  <c r="E15" i="3"/>
  <c r="F15" i="3" s="1"/>
  <c r="E3" i="3"/>
  <c r="F3" i="3" s="1"/>
  <c r="E14" i="3"/>
  <c r="F14" i="3" s="1"/>
  <c r="E9" i="3"/>
  <c r="F9" i="3" s="1"/>
  <c r="E8" i="3"/>
  <c r="F8" i="3" s="1"/>
  <c r="E2" i="3"/>
  <c r="F2" i="3" s="1"/>
  <c r="G2" i="3" s="1"/>
  <c r="E7" i="3"/>
  <c r="F7" i="3" s="1"/>
  <c r="E6" i="3"/>
  <c r="F6" i="3" s="1"/>
  <c r="E17" i="3"/>
  <c r="F17" i="3" s="1"/>
  <c r="E4" i="3"/>
  <c r="F4" i="3" s="1"/>
  <c r="E13" i="3"/>
  <c r="F13" i="3" s="1"/>
  <c r="E14" i="2"/>
  <c r="F14" i="2" s="1"/>
  <c r="G14" i="2" s="1"/>
  <c r="E12" i="2"/>
  <c r="F12" i="2" s="1"/>
  <c r="G12" i="2" s="1"/>
  <c r="E13" i="2"/>
  <c r="F13" i="2" s="1"/>
  <c r="G13" i="2" s="1"/>
  <c r="E9" i="2"/>
  <c r="F9" i="2" s="1"/>
  <c r="G9" i="2" s="1"/>
  <c r="E5" i="2"/>
  <c r="F5" i="2" s="1"/>
  <c r="G5" i="2" s="1"/>
  <c r="E16" i="2"/>
  <c r="F16" i="2" s="1"/>
  <c r="G16" i="2" s="1"/>
  <c r="E4" i="2"/>
  <c r="F4" i="2" s="1"/>
  <c r="G4" i="2" s="1"/>
  <c r="E11" i="2"/>
  <c r="F11" i="2" s="1"/>
  <c r="G11" i="2" s="1"/>
  <c r="E10" i="2"/>
  <c r="F10" i="2" s="1"/>
  <c r="G10" i="2" s="1"/>
  <c r="E21" i="2"/>
  <c r="F21" i="2" s="1"/>
  <c r="G21" i="2" s="1"/>
  <c r="E20" i="2"/>
  <c r="F20" i="2" s="1"/>
  <c r="G20" i="2" s="1"/>
  <c r="E8" i="2"/>
  <c r="F8" i="2" s="1"/>
  <c r="G8" i="2" s="1"/>
  <c r="E19" i="2"/>
  <c r="F19" i="2" s="1"/>
  <c r="G19" i="2" s="1"/>
  <c r="E7" i="2"/>
  <c r="F7" i="2" s="1"/>
  <c r="G7" i="2" s="1"/>
  <c r="E2" i="2"/>
  <c r="E18" i="2"/>
  <c r="F18" i="2" s="1"/>
  <c r="G18" i="2" s="1"/>
  <c r="E6" i="2"/>
  <c r="F6" i="2" s="1"/>
  <c r="G6" i="2" s="1"/>
  <c r="E17" i="2"/>
  <c r="F17" i="2" s="1"/>
  <c r="G17" i="2" s="1"/>
  <c r="E15" i="2"/>
  <c r="F15" i="2" s="1"/>
  <c r="G15" i="2" s="1"/>
  <c r="E67" i="1"/>
  <c r="E9" i="9" l="1"/>
  <c r="F8" i="8"/>
  <c r="D8" i="8"/>
  <c r="D13" i="6"/>
  <c r="D12" i="5"/>
  <c r="D10" i="4"/>
  <c r="E22" i="2"/>
  <c r="F2" i="2"/>
  <c r="G2" i="2" s="1"/>
</calcChain>
</file>

<file path=xl/sharedStrings.xml><?xml version="1.0" encoding="utf-8"?>
<sst xmlns="http://schemas.openxmlformats.org/spreadsheetml/2006/main" count="413" uniqueCount="109">
  <si>
    <t>Provincia</t>
  </si>
  <si>
    <t>Cantón</t>
  </si>
  <si>
    <t>Residuos generados por año (Tm)</t>
  </si>
  <si>
    <t>Población</t>
  </si>
  <si>
    <t>Residuos Generados per Capita (Tm/persona)</t>
  </si>
  <si>
    <t>San José</t>
  </si>
  <si>
    <t>Escazú</t>
  </si>
  <si>
    <t>Desamparados</t>
  </si>
  <si>
    <t>Puriscal</t>
  </si>
  <si>
    <t>Tarrazú</t>
  </si>
  <si>
    <t>Aserrí</t>
  </si>
  <si>
    <t>Mora</t>
  </si>
  <si>
    <t>Goicoechea</t>
  </si>
  <si>
    <t>Santa Ana</t>
  </si>
  <si>
    <t>Alajuelita</t>
  </si>
  <si>
    <t>Vázquez de Coronado</t>
  </si>
  <si>
    <t>Acosta</t>
  </si>
  <si>
    <t>Tibás</t>
  </si>
  <si>
    <t>Moravia</t>
  </si>
  <si>
    <t>Montes de Oca</t>
  </si>
  <si>
    <t>Turrubares</t>
  </si>
  <si>
    <t>Dota</t>
  </si>
  <si>
    <t>Curridabat</t>
  </si>
  <si>
    <t>Pérez Zeledón</t>
  </si>
  <si>
    <t>León Cortés Castro</t>
  </si>
  <si>
    <t>Alajuela</t>
  </si>
  <si>
    <t>San Ramón</t>
  </si>
  <si>
    <t>Grecia</t>
  </si>
  <si>
    <t>San Mateo</t>
  </si>
  <si>
    <t>Atenas</t>
  </si>
  <si>
    <t>Naranjo</t>
  </si>
  <si>
    <t>Palmares</t>
  </si>
  <si>
    <t>Poás</t>
  </si>
  <si>
    <t>Orotina</t>
  </si>
  <si>
    <t>San Carlos</t>
  </si>
  <si>
    <t>Zarcero</t>
  </si>
  <si>
    <t>Sarchí</t>
  </si>
  <si>
    <t>Upala</t>
  </si>
  <si>
    <t>Los Chiles</t>
  </si>
  <si>
    <t>Guatuso</t>
  </si>
  <si>
    <t>Río Cuarto</t>
  </si>
  <si>
    <t>No disponible</t>
  </si>
  <si>
    <t>Cartago</t>
  </si>
  <si>
    <t>Paraíso</t>
  </si>
  <si>
    <t>La Unión</t>
  </si>
  <si>
    <t>Jiménez</t>
  </si>
  <si>
    <t>Turrialba</t>
  </si>
  <si>
    <t>Alvarado</t>
  </si>
  <si>
    <t>Oreamuno</t>
  </si>
  <si>
    <t>El Guarco</t>
  </si>
  <si>
    <t>Heredia</t>
  </si>
  <si>
    <t>Barva</t>
  </si>
  <si>
    <t>Santo Domingo</t>
  </si>
  <si>
    <t>Santa Bárbara</t>
  </si>
  <si>
    <t>San Rafael</t>
  </si>
  <si>
    <t>San Isidro</t>
  </si>
  <si>
    <t>Belén</t>
  </si>
  <si>
    <t>Flores</t>
  </si>
  <si>
    <t>San Pablo</t>
  </si>
  <si>
    <t>Sarapiquí</t>
  </si>
  <si>
    <t>Guanacate</t>
  </si>
  <si>
    <t>Liberia</t>
  </si>
  <si>
    <t>Nicoya</t>
  </si>
  <si>
    <t>Santa Cruz</t>
  </si>
  <si>
    <t>Bagaces</t>
  </si>
  <si>
    <t>Carrillo</t>
  </si>
  <si>
    <t>Cañas</t>
  </si>
  <si>
    <t>Abangares</t>
  </si>
  <si>
    <t>Tilarán</t>
  </si>
  <si>
    <t>Nandayure</t>
  </si>
  <si>
    <t>La Cruz</t>
  </si>
  <si>
    <t>Hojancha</t>
  </si>
  <si>
    <t>Puntarenas</t>
  </si>
  <si>
    <t>Esparza</t>
  </si>
  <si>
    <t>Buenos Aires</t>
  </si>
  <si>
    <t>Montes de Oro</t>
  </si>
  <si>
    <t>Osa</t>
  </si>
  <si>
    <t>Quepos</t>
  </si>
  <si>
    <t>Golfito</t>
  </si>
  <si>
    <t>Coto Brus</t>
  </si>
  <si>
    <t>Parrita</t>
  </si>
  <si>
    <t>Corredores</t>
  </si>
  <si>
    <t>Garabito</t>
  </si>
  <si>
    <t>Monteverde</t>
  </si>
  <si>
    <t>NA</t>
  </si>
  <si>
    <t>Puerto Jiménez</t>
  </si>
  <si>
    <t>Limón</t>
  </si>
  <si>
    <t>Pococí</t>
  </si>
  <si>
    <t>Siquirres</t>
  </si>
  <si>
    <t>Talamanca</t>
  </si>
  <si>
    <t>Matina</t>
  </si>
  <si>
    <t>Guácimo</t>
  </si>
  <si>
    <t xml:space="preserve">Cartago </t>
  </si>
  <si>
    <t xml:space="preserve">Heredia </t>
  </si>
  <si>
    <t>Guanacaste</t>
  </si>
  <si>
    <t xml:space="preserve">Puntarenas </t>
  </si>
  <si>
    <t xml:space="preserve">Limon </t>
  </si>
  <si>
    <t>Recuperado</t>
  </si>
  <si>
    <t>Total</t>
  </si>
  <si>
    <t>Residuos valorizados por año (Tm)</t>
  </si>
  <si>
    <t>Residuos valorizados por año (T)</t>
  </si>
  <si>
    <t>Compostaje + Co-procesamiento + Reciclaje (T)</t>
  </si>
  <si>
    <t>Compostaje + Co-procesamiento + Reciclaje (T) pais</t>
  </si>
  <si>
    <t>% de valorizados</t>
  </si>
  <si>
    <t>Valorizados por provincia (T)</t>
  </si>
  <si>
    <t>% devalorizados por canton</t>
  </si>
  <si>
    <t>% de valorizados por canton</t>
  </si>
  <si>
    <t>Valorizados</t>
  </si>
  <si>
    <t>Valorizados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</si>
</sst>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7AC1-F21D-41C9-97B2-173A10787DD0}">
  <dimension ref="A1:E85"/>
  <sheetViews>
    <sheetView topLeftCell="A63" workbookViewId="0">
      <selection activeCell="C86" sqref="C86"/>
    </sheetView>
  </sheetViews>
  <sheetFormatPr defaultRowHeight="14.4" x14ac:dyDescent="0.3"/>
  <cols>
    <col min="1" max="1" width="10.33203125" bestFit="1" customWidth="1"/>
    <col min="2" max="2" width="18.44140625" bestFit="1" customWidth="1"/>
    <col min="3" max="3" width="27.6640625" bestFit="1" customWidth="1"/>
    <col min="4" max="4" width="9" bestFit="1" customWidth="1"/>
    <col min="5" max="5" width="38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5</v>
      </c>
      <c r="C2">
        <v>95460</v>
      </c>
      <c r="D2">
        <v>352381</v>
      </c>
      <c r="E2" s="1">
        <f>C2/D2</f>
        <v>0.27089996339189681</v>
      </c>
    </row>
    <row r="3" spans="1:5" x14ac:dyDescent="0.3">
      <c r="A3" t="s">
        <v>5</v>
      </c>
      <c r="B3" t="s">
        <v>6</v>
      </c>
      <c r="C3">
        <v>19782.400000000001</v>
      </c>
      <c r="D3">
        <v>71500</v>
      </c>
      <c r="E3" s="1">
        <f t="shared" ref="E3:E66" si="0">C3/D3</f>
        <v>0.2766769230769231</v>
      </c>
    </row>
    <row r="4" spans="1:5" x14ac:dyDescent="0.3">
      <c r="A4" t="s">
        <v>5</v>
      </c>
      <c r="B4" t="s">
        <v>7</v>
      </c>
      <c r="C4">
        <v>57000</v>
      </c>
      <c r="D4">
        <v>223226</v>
      </c>
      <c r="E4" s="1">
        <f t="shared" si="0"/>
        <v>0.25534659941046295</v>
      </c>
    </row>
    <row r="5" spans="1:5" x14ac:dyDescent="0.3">
      <c r="A5" t="s">
        <v>5</v>
      </c>
      <c r="B5" t="s">
        <v>8</v>
      </c>
      <c r="C5">
        <v>4872</v>
      </c>
      <c r="D5">
        <v>38525</v>
      </c>
      <c r="E5" s="1">
        <f t="shared" si="0"/>
        <v>0.12646333549643088</v>
      </c>
    </row>
    <row r="6" spans="1:5" x14ac:dyDescent="0.3">
      <c r="A6" t="s">
        <v>5</v>
      </c>
      <c r="B6" t="s">
        <v>9</v>
      </c>
      <c r="C6">
        <v>4180</v>
      </c>
      <c r="D6">
        <v>17810</v>
      </c>
      <c r="E6" s="1">
        <f t="shared" si="0"/>
        <v>0.23469960696238068</v>
      </c>
    </row>
    <row r="7" spans="1:5" x14ac:dyDescent="0.3">
      <c r="A7" t="s">
        <v>5</v>
      </c>
      <c r="B7" t="s">
        <v>10</v>
      </c>
      <c r="C7">
        <v>12875</v>
      </c>
      <c r="D7">
        <v>59588</v>
      </c>
      <c r="E7" s="1">
        <f t="shared" si="0"/>
        <v>0.21606699335436666</v>
      </c>
    </row>
    <row r="8" spans="1:5" x14ac:dyDescent="0.3">
      <c r="A8" t="s">
        <v>5</v>
      </c>
      <c r="B8" t="s">
        <v>11</v>
      </c>
      <c r="C8">
        <v>9296.6</v>
      </c>
      <c r="D8">
        <v>32348</v>
      </c>
      <c r="E8" s="1">
        <f t="shared" si="0"/>
        <v>0.28739334734759492</v>
      </c>
    </row>
    <row r="9" spans="1:5" x14ac:dyDescent="0.3">
      <c r="A9" t="s">
        <v>5</v>
      </c>
      <c r="B9" t="s">
        <v>12</v>
      </c>
      <c r="C9">
        <v>28920</v>
      </c>
      <c r="D9">
        <v>132104</v>
      </c>
      <c r="E9" s="1">
        <f t="shared" si="0"/>
        <v>0.21891842790528673</v>
      </c>
    </row>
    <row r="10" spans="1:5" x14ac:dyDescent="0.3">
      <c r="A10" t="s">
        <v>5</v>
      </c>
      <c r="B10" t="s">
        <v>13</v>
      </c>
      <c r="C10">
        <v>22200</v>
      </c>
      <c r="D10">
        <v>58020</v>
      </c>
      <c r="E10" s="1">
        <f t="shared" si="0"/>
        <v>0.38262668045501552</v>
      </c>
    </row>
    <row r="11" spans="1:5" x14ac:dyDescent="0.3">
      <c r="A11" t="s">
        <v>5</v>
      </c>
      <c r="B11" t="s">
        <v>14</v>
      </c>
      <c r="C11">
        <v>19677.5</v>
      </c>
      <c r="D11">
        <v>81012</v>
      </c>
      <c r="E11" s="1">
        <f t="shared" si="0"/>
        <v>0.24289611415592752</v>
      </c>
    </row>
    <row r="12" spans="1:5" x14ac:dyDescent="0.3">
      <c r="A12" t="s">
        <v>5</v>
      </c>
      <c r="B12" t="s">
        <v>15</v>
      </c>
      <c r="C12">
        <v>17317</v>
      </c>
      <c r="D12">
        <v>67078</v>
      </c>
      <c r="E12" s="1">
        <f t="shared" si="0"/>
        <v>0.25816213959867618</v>
      </c>
    </row>
    <row r="13" spans="1:5" x14ac:dyDescent="0.3">
      <c r="A13" t="s">
        <v>5</v>
      </c>
      <c r="B13" t="s">
        <v>16</v>
      </c>
      <c r="C13">
        <v>2712</v>
      </c>
      <c r="D13">
        <v>22542</v>
      </c>
      <c r="E13" s="1">
        <f t="shared" si="0"/>
        <v>0.12030875698695769</v>
      </c>
    </row>
    <row r="14" spans="1:5" x14ac:dyDescent="0.3">
      <c r="A14" t="s">
        <v>5</v>
      </c>
      <c r="B14" t="s">
        <v>17</v>
      </c>
      <c r="C14">
        <v>18314</v>
      </c>
      <c r="D14">
        <v>74592</v>
      </c>
      <c r="E14" s="1">
        <f t="shared" si="0"/>
        <v>0.24552230802230801</v>
      </c>
    </row>
    <row r="15" spans="1:5" x14ac:dyDescent="0.3">
      <c r="A15" t="s">
        <v>5</v>
      </c>
      <c r="B15" t="s">
        <v>18</v>
      </c>
      <c r="C15">
        <v>18720</v>
      </c>
      <c r="D15">
        <v>59546</v>
      </c>
      <c r="E15" s="1">
        <f t="shared" si="0"/>
        <v>0.31437879958351528</v>
      </c>
    </row>
    <row r="16" spans="1:5" x14ac:dyDescent="0.3">
      <c r="A16" t="s">
        <v>5</v>
      </c>
      <c r="B16" t="s">
        <v>19</v>
      </c>
      <c r="C16">
        <v>15600</v>
      </c>
      <c r="D16">
        <v>53862</v>
      </c>
      <c r="E16" s="1">
        <f t="shared" si="0"/>
        <v>0.28962905202183359</v>
      </c>
    </row>
    <row r="17" spans="1:5" x14ac:dyDescent="0.3">
      <c r="A17" t="s">
        <v>5</v>
      </c>
      <c r="B17" t="s">
        <v>20</v>
      </c>
      <c r="C17">
        <v>6396.5</v>
      </c>
      <c r="D17">
        <v>6173</v>
      </c>
      <c r="E17" s="1">
        <f t="shared" si="0"/>
        <v>1.0362060586424753</v>
      </c>
    </row>
    <row r="18" spans="1:5" x14ac:dyDescent="0.3">
      <c r="A18" t="s">
        <v>5</v>
      </c>
      <c r="B18" t="s">
        <v>21</v>
      </c>
      <c r="C18">
        <v>1500</v>
      </c>
      <c r="D18">
        <v>9364</v>
      </c>
      <c r="E18" s="1">
        <f t="shared" si="0"/>
        <v>0.16018795386586929</v>
      </c>
    </row>
    <row r="19" spans="1:5" x14ac:dyDescent="0.3">
      <c r="A19" t="s">
        <v>5</v>
      </c>
      <c r="B19" t="s">
        <v>22</v>
      </c>
      <c r="C19">
        <v>24372</v>
      </c>
      <c r="D19">
        <v>71026</v>
      </c>
      <c r="E19" s="1">
        <f t="shared" si="0"/>
        <v>0.3431419480190353</v>
      </c>
    </row>
    <row r="20" spans="1:5" x14ac:dyDescent="0.3">
      <c r="A20" t="s">
        <v>5</v>
      </c>
      <c r="B20" t="s">
        <v>23</v>
      </c>
      <c r="C20">
        <v>15214.2</v>
      </c>
      <c r="D20">
        <v>156917</v>
      </c>
      <c r="E20" s="1">
        <f t="shared" si="0"/>
        <v>9.6956990001083376E-2</v>
      </c>
    </row>
    <row r="21" spans="1:5" x14ac:dyDescent="0.3">
      <c r="A21" t="s">
        <v>5</v>
      </c>
      <c r="B21" t="s">
        <v>24</v>
      </c>
      <c r="C21">
        <v>1380</v>
      </c>
      <c r="D21">
        <v>13553</v>
      </c>
      <c r="E21" s="1">
        <f t="shared" si="0"/>
        <v>0.10182247472884232</v>
      </c>
    </row>
    <row r="22" spans="1:5" x14ac:dyDescent="0.3">
      <c r="A22" t="s">
        <v>25</v>
      </c>
      <c r="B22" t="s">
        <v>25</v>
      </c>
      <c r="C22">
        <v>94412</v>
      </c>
      <c r="D22">
        <v>322143</v>
      </c>
      <c r="E22" s="1">
        <f t="shared" si="0"/>
        <v>0.29307481460096912</v>
      </c>
    </row>
    <row r="23" spans="1:5" x14ac:dyDescent="0.3">
      <c r="A23" t="s">
        <v>25</v>
      </c>
      <c r="B23" t="s">
        <v>26</v>
      </c>
      <c r="C23">
        <f>23640+1440</f>
        <v>25080</v>
      </c>
      <c r="D23">
        <f>93264+11460</f>
        <v>104724</v>
      </c>
      <c r="E23" s="1">
        <f t="shared" si="0"/>
        <v>0.23948665062449867</v>
      </c>
    </row>
    <row r="24" spans="1:5" x14ac:dyDescent="0.3">
      <c r="A24" t="s">
        <v>25</v>
      </c>
      <c r="B24" t="s">
        <v>27</v>
      </c>
      <c r="C24">
        <v>18933</v>
      </c>
      <c r="D24">
        <v>76226</v>
      </c>
      <c r="E24" s="1">
        <f t="shared" si="0"/>
        <v>0.24837981790989952</v>
      </c>
    </row>
    <row r="25" spans="1:5" x14ac:dyDescent="0.3">
      <c r="A25" t="s">
        <v>25</v>
      </c>
      <c r="B25" t="s">
        <v>28</v>
      </c>
      <c r="C25">
        <v>2007</v>
      </c>
      <c r="D25">
        <v>6952</v>
      </c>
      <c r="E25" s="1">
        <f t="shared" si="0"/>
        <v>0.28869390103567316</v>
      </c>
    </row>
    <row r="26" spans="1:5" x14ac:dyDescent="0.3">
      <c r="A26" t="s">
        <v>25</v>
      </c>
      <c r="B26" t="s">
        <v>29</v>
      </c>
      <c r="C26">
        <v>7188</v>
      </c>
      <c r="D26">
        <v>30407</v>
      </c>
      <c r="E26" s="1">
        <f t="shared" si="0"/>
        <v>0.23639293583714277</v>
      </c>
    </row>
    <row r="27" spans="1:5" x14ac:dyDescent="0.3">
      <c r="A27" t="s">
        <v>25</v>
      </c>
      <c r="B27" t="s">
        <v>30</v>
      </c>
      <c r="C27">
        <v>10800</v>
      </c>
      <c r="D27">
        <v>46647</v>
      </c>
      <c r="E27" s="1">
        <f t="shared" si="0"/>
        <v>0.23152614316033185</v>
      </c>
    </row>
    <row r="28" spans="1:5" x14ac:dyDescent="0.3">
      <c r="A28" t="s">
        <v>25</v>
      </c>
      <c r="B28" t="s">
        <v>31</v>
      </c>
      <c r="C28">
        <v>11106.7</v>
      </c>
      <c r="D28">
        <v>39148</v>
      </c>
      <c r="E28" s="1">
        <f t="shared" si="0"/>
        <v>0.28371053438234395</v>
      </c>
    </row>
    <row r="29" spans="1:5" x14ac:dyDescent="0.3">
      <c r="A29" t="s">
        <v>25</v>
      </c>
      <c r="B29" t="s">
        <v>32</v>
      </c>
      <c r="C29">
        <v>7380</v>
      </c>
      <c r="D29">
        <v>36207</v>
      </c>
      <c r="E29" s="1">
        <f t="shared" si="0"/>
        <v>0.2038279890628884</v>
      </c>
    </row>
    <row r="30" spans="1:5" x14ac:dyDescent="0.3">
      <c r="A30" t="s">
        <v>25</v>
      </c>
      <c r="B30" t="s">
        <v>33</v>
      </c>
      <c r="C30">
        <v>7800</v>
      </c>
      <c r="D30">
        <v>24217</v>
      </c>
      <c r="E30" s="1">
        <f t="shared" si="0"/>
        <v>0.32208778956931083</v>
      </c>
    </row>
    <row r="31" spans="1:5" x14ac:dyDescent="0.3">
      <c r="A31" t="s">
        <v>25</v>
      </c>
      <c r="B31" t="s">
        <v>34</v>
      </c>
      <c r="C31">
        <v>28800</v>
      </c>
      <c r="D31">
        <v>198742</v>
      </c>
      <c r="E31" s="1">
        <f t="shared" si="0"/>
        <v>0.14491149329281178</v>
      </c>
    </row>
    <row r="32" spans="1:5" x14ac:dyDescent="0.3">
      <c r="A32" t="s">
        <v>25</v>
      </c>
      <c r="B32" t="s">
        <v>35</v>
      </c>
      <c r="C32">
        <v>3268</v>
      </c>
      <c r="D32">
        <v>15153</v>
      </c>
      <c r="E32" s="1">
        <f t="shared" si="0"/>
        <v>0.21566686464726456</v>
      </c>
    </row>
    <row r="33" spans="1:5" x14ac:dyDescent="0.3">
      <c r="A33" t="s">
        <v>25</v>
      </c>
      <c r="B33" t="s">
        <v>36</v>
      </c>
      <c r="C33">
        <v>4404</v>
      </c>
      <c r="D33">
        <v>21562</v>
      </c>
      <c r="E33" s="1">
        <f t="shared" si="0"/>
        <v>0.20424821445134961</v>
      </c>
    </row>
    <row r="34" spans="1:5" x14ac:dyDescent="0.3">
      <c r="A34" t="s">
        <v>25</v>
      </c>
      <c r="B34" t="s">
        <v>37</v>
      </c>
      <c r="C34">
        <v>3600</v>
      </c>
      <c r="D34">
        <v>57361</v>
      </c>
      <c r="E34" s="1">
        <f t="shared" si="0"/>
        <v>6.27604121267063E-2</v>
      </c>
    </row>
    <row r="35" spans="1:5" x14ac:dyDescent="0.3">
      <c r="A35" t="s">
        <v>25</v>
      </c>
      <c r="B35" t="s">
        <v>38</v>
      </c>
      <c r="C35">
        <v>1680</v>
      </c>
      <c r="D35">
        <v>34701</v>
      </c>
      <c r="E35" s="1">
        <f t="shared" si="0"/>
        <v>4.8413590386444195E-2</v>
      </c>
    </row>
    <row r="36" spans="1:5" x14ac:dyDescent="0.3">
      <c r="A36" t="s">
        <v>25</v>
      </c>
      <c r="B36" t="s">
        <v>39</v>
      </c>
      <c r="C36">
        <v>1179</v>
      </c>
      <c r="D36">
        <v>18316</v>
      </c>
      <c r="E36" s="1">
        <f t="shared" si="0"/>
        <v>6.4369949770692297E-2</v>
      </c>
    </row>
    <row r="37" spans="1:5" x14ac:dyDescent="0.3">
      <c r="A37" t="s">
        <v>25</v>
      </c>
      <c r="B37" t="s">
        <v>40</v>
      </c>
      <c r="C37" t="s">
        <v>41</v>
      </c>
      <c r="D37">
        <v>14418</v>
      </c>
      <c r="E37" s="1" t="e">
        <f t="shared" si="0"/>
        <v>#VALUE!</v>
      </c>
    </row>
    <row r="38" spans="1:5" x14ac:dyDescent="0.3">
      <c r="A38" t="s">
        <v>42</v>
      </c>
      <c r="B38" t="s">
        <v>42</v>
      </c>
      <c r="C38">
        <v>40922</v>
      </c>
      <c r="D38">
        <v>165417</v>
      </c>
      <c r="E38" s="1">
        <f t="shared" si="0"/>
        <v>0.2473869070289027</v>
      </c>
    </row>
    <row r="39" spans="1:5" x14ac:dyDescent="0.3">
      <c r="A39" t="s">
        <v>42</v>
      </c>
      <c r="B39" t="s">
        <v>43</v>
      </c>
      <c r="C39">
        <v>17100</v>
      </c>
      <c r="D39">
        <v>65941</v>
      </c>
      <c r="E39" s="1">
        <f t="shared" si="0"/>
        <v>0.25932272789311656</v>
      </c>
    </row>
    <row r="40" spans="1:5" x14ac:dyDescent="0.3">
      <c r="A40" t="s">
        <v>42</v>
      </c>
      <c r="B40" t="s">
        <v>44</v>
      </c>
      <c r="C40">
        <v>30307.5</v>
      </c>
      <c r="D40">
        <v>99539</v>
      </c>
      <c r="E40" s="1">
        <f t="shared" si="0"/>
        <v>0.30447864656064455</v>
      </c>
    </row>
    <row r="41" spans="1:5" x14ac:dyDescent="0.3">
      <c r="A41" t="s">
        <v>42</v>
      </c>
      <c r="B41" t="s">
        <v>45</v>
      </c>
      <c r="C41">
        <f>1800+720</f>
        <v>2520</v>
      </c>
      <c r="D41">
        <f>18710+5595</f>
        <v>24305</v>
      </c>
      <c r="E41" s="1">
        <f t="shared" si="0"/>
        <v>0.10368236988274018</v>
      </c>
    </row>
    <row r="42" spans="1:5" x14ac:dyDescent="0.3">
      <c r="A42" t="s">
        <v>42</v>
      </c>
      <c r="B42" t="s">
        <v>46</v>
      </c>
      <c r="C42">
        <v>9772</v>
      </c>
      <c r="D42">
        <v>82065</v>
      </c>
      <c r="E42" s="1">
        <f t="shared" si="0"/>
        <v>0.11907634192408456</v>
      </c>
    </row>
    <row r="43" spans="1:5" x14ac:dyDescent="0.3">
      <c r="A43" t="s">
        <v>42</v>
      </c>
      <c r="B43" t="s">
        <v>47</v>
      </c>
      <c r="C43">
        <f>1373+1572.7</f>
        <v>2945.7</v>
      </c>
      <c r="D43">
        <f>17134+8273</f>
        <v>25407</v>
      </c>
      <c r="E43" s="1">
        <f t="shared" si="0"/>
        <v>0.11594048884165781</v>
      </c>
    </row>
    <row r="44" spans="1:5" x14ac:dyDescent="0.3">
      <c r="A44" t="s">
        <v>42</v>
      </c>
      <c r="B44" t="s">
        <v>48</v>
      </c>
      <c r="C44">
        <v>10080</v>
      </c>
      <c r="D44">
        <v>48911</v>
      </c>
      <c r="E44" s="1">
        <f t="shared" si="0"/>
        <v>0.20608860992414793</v>
      </c>
    </row>
    <row r="45" spans="1:5" x14ac:dyDescent="0.3">
      <c r="A45" t="s">
        <v>42</v>
      </c>
      <c r="B45" t="s">
        <v>49</v>
      </c>
      <c r="C45">
        <v>10704</v>
      </c>
      <c r="D45">
        <v>47375</v>
      </c>
      <c r="E45" s="1">
        <f t="shared" si="0"/>
        <v>0.22594195250659629</v>
      </c>
    </row>
    <row r="46" spans="1:5" x14ac:dyDescent="0.3">
      <c r="A46" t="s">
        <v>50</v>
      </c>
      <c r="B46" t="s">
        <v>50</v>
      </c>
      <c r="C46">
        <v>44729.18</v>
      </c>
      <c r="D46">
        <v>131901</v>
      </c>
      <c r="E46" s="1">
        <f>C46/D46</f>
        <v>0.33911175806096999</v>
      </c>
    </row>
    <row r="47" spans="1:5" x14ac:dyDescent="0.3">
      <c r="A47" t="s">
        <v>50</v>
      </c>
      <c r="B47" t="s">
        <v>51</v>
      </c>
      <c r="C47">
        <v>12840</v>
      </c>
      <c r="D47">
        <v>47699</v>
      </c>
      <c r="E47" s="1">
        <f>C47/D47</f>
        <v>0.26918803329210256</v>
      </c>
    </row>
    <row r="48" spans="1:5" x14ac:dyDescent="0.3">
      <c r="A48" t="s">
        <v>50</v>
      </c>
      <c r="B48" t="s">
        <v>52</v>
      </c>
      <c r="C48">
        <v>14760</v>
      </c>
      <c r="D48">
        <v>45932</v>
      </c>
      <c r="E48" s="1">
        <f t="shared" si="0"/>
        <v>0.32134459635983625</v>
      </c>
    </row>
    <row r="49" spans="1:5" x14ac:dyDescent="0.3">
      <c r="A49" t="s">
        <v>50</v>
      </c>
      <c r="B49" t="s">
        <v>53</v>
      </c>
      <c r="C49">
        <v>10504.68</v>
      </c>
      <c r="D49">
        <v>39133</v>
      </c>
      <c r="E49" s="1">
        <f t="shared" si="0"/>
        <v>0.2684353359057573</v>
      </c>
    </row>
    <row r="50" spans="1:5" x14ac:dyDescent="0.3">
      <c r="A50" t="s">
        <v>50</v>
      </c>
      <c r="B50" t="s">
        <v>54</v>
      </c>
      <c r="C50">
        <v>15824</v>
      </c>
      <c r="D50">
        <v>48848</v>
      </c>
      <c r="E50" s="1">
        <f t="shared" si="0"/>
        <v>0.323943661971831</v>
      </c>
    </row>
    <row r="51" spans="1:5" x14ac:dyDescent="0.3">
      <c r="A51" t="s">
        <v>50</v>
      </c>
      <c r="B51" t="s">
        <v>55</v>
      </c>
      <c r="C51">
        <v>6588</v>
      </c>
      <c r="D51">
        <v>22806</v>
      </c>
      <c r="E51" s="1">
        <f t="shared" si="0"/>
        <v>0.2888713496448303</v>
      </c>
    </row>
    <row r="52" spans="1:5" x14ac:dyDescent="0.3">
      <c r="A52" t="s">
        <v>50</v>
      </c>
      <c r="B52" t="s">
        <v>56</v>
      </c>
      <c r="C52">
        <v>8446</v>
      </c>
      <c r="D52">
        <v>23759</v>
      </c>
      <c r="E52" s="1">
        <f t="shared" si="0"/>
        <v>0.35548634201776169</v>
      </c>
    </row>
    <row r="53" spans="1:5" x14ac:dyDescent="0.3">
      <c r="A53" t="s">
        <v>50</v>
      </c>
      <c r="B53" t="s">
        <v>57</v>
      </c>
      <c r="C53">
        <v>7397</v>
      </c>
      <c r="D53">
        <v>22026</v>
      </c>
      <c r="E53" s="1">
        <f t="shared" si="0"/>
        <v>0.33583038227549261</v>
      </c>
    </row>
    <row r="54" spans="1:5" x14ac:dyDescent="0.3">
      <c r="A54" t="s">
        <v>50</v>
      </c>
      <c r="B54" t="s">
        <v>58</v>
      </c>
      <c r="C54">
        <v>9865.32</v>
      </c>
      <c r="D54">
        <v>29860</v>
      </c>
      <c r="E54" s="1">
        <f t="shared" si="0"/>
        <v>0.33038580040187543</v>
      </c>
    </row>
    <row r="55" spans="1:5" x14ac:dyDescent="0.3">
      <c r="A55" t="s">
        <v>50</v>
      </c>
      <c r="B55" t="s">
        <v>59</v>
      </c>
      <c r="C55">
        <v>9760</v>
      </c>
      <c r="D55">
        <v>67153</v>
      </c>
      <c r="E55" s="1">
        <f t="shared" si="0"/>
        <v>0.14533974654892559</v>
      </c>
    </row>
    <row r="56" spans="1:5" x14ac:dyDescent="0.3">
      <c r="A56" t="s">
        <v>60</v>
      </c>
      <c r="B56" t="s">
        <v>61</v>
      </c>
      <c r="C56">
        <v>17921.259999999998</v>
      </c>
      <c r="D56">
        <v>80130</v>
      </c>
      <c r="E56" s="1">
        <f t="shared" si="0"/>
        <v>0.22365231498814425</v>
      </c>
    </row>
    <row r="57" spans="1:5" x14ac:dyDescent="0.3">
      <c r="A57" t="s">
        <v>60</v>
      </c>
      <c r="B57" t="s">
        <v>62</v>
      </c>
      <c r="C57">
        <v>12612</v>
      </c>
      <c r="D57">
        <v>66268</v>
      </c>
      <c r="E57" s="1">
        <f t="shared" si="0"/>
        <v>0.19031810225146376</v>
      </c>
    </row>
    <row r="58" spans="1:5" x14ac:dyDescent="0.3">
      <c r="A58" t="s">
        <v>60</v>
      </c>
      <c r="B58" t="s">
        <v>63</v>
      </c>
      <c r="C58">
        <v>24516</v>
      </c>
      <c r="D58">
        <v>72366</v>
      </c>
      <c r="E58" s="1">
        <f t="shared" si="0"/>
        <v>0.3387778791145013</v>
      </c>
    </row>
    <row r="59" spans="1:5" x14ac:dyDescent="0.3">
      <c r="A59" t="s">
        <v>60</v>
      </c>
      <c r="B59" t="s">
        <v>64</v>
      </c>
      <c r="C59">
        <v>4031.5</v>
      </c>
      <c r="D59">
        <v>23709</v>
      </c>
      <c r="E59" s="1">
        <f t="shared" si="0"/>
        <v>0.17004091273356109</v>
      </c>
    </row>
    <row r="60" spans="1:5" x14ac:dyDescent="0.3">
      <c r="A60" t="s">
        <v>60</v>
      </c>
      <c r="B60" t="s">
        <v>65</v>
      </c>
      <c r="C60">
        <v>150733.20000000001</v>
      </c>
      <c r="D60">
        <v>48227</v>
      </c>
      <c r="E60" s="1">
        <f t="shared" si="0"/>
        <v>3.1254940178738053</v>
      </c>
    </row>
    <row r="61" spans="1:5" x14ac:dyDescent="0.3">
      <c r="A61" t="s">
        <v>60</v>
      </c>
      <c r="B61" t="s">
        <v>66</v>
      </c>
      <c r="C61">
        <v>6306.2</v>
      </c>
      <c r="D61">
        <v>31738</v>
      </c>
      <c r="E61" s="1">
        <f t="shared" si="0"/>
        <v>0.19869556997920473</v>
      </c>
    </row>
    <row r="62" spans="1:5" x14ac:dyDescent="0.3">
      <c r="A62" t="s">
        <v>60</v>
      </c>
      <c r="B62" t="s">
        <v>67</v>
      </c>
      <c r="C62">
        <f>2400+540</f>
        <v>2940</v>
      </c>
      <c r="D62">
        <f>22211+6552</f>
        <v>28763</v>
      </c>
      <c r="E62" s="1">
        <f t="shared" si="0"/>
        <v>0.10221465076660988</v>
      </c>
    </row>
    <row r="63" spans="1:5" x14ac:dyDescent="0.3">
      <c r="A63" t="s">
        <v>60</v>
      </c>
      <c r="B63" t="s">
        <v>68</v>
      </c>
      <c r="C63">
        <v>5136</v>
      </c>
      <c r="D63">
        <v>21232</v>
      </c>
      <c r="E63" s="1">
        <f t="shared" si="0"/>
        <v>0.24189902034664656</v>
      </c>
    </row>
    <row r="64" spans="1:5" x14ac:dyDescent="0.3">
      <c r="A64" t="s">
        <v>60</v>
      </c>
      <c r="B64" t="s">
        <v>69</v>
      </c>
      <c r="C64">
        <v>1068</v>
      </c>
      <c r="D64">
        <v>11874</v>
      </c>
      <c r="E64" s="1">
        <f t="shared" si="0"/>
        <v>8.9944416371905006E-2</v>
      </c>
    </row>
    <row r="65" spans="1:5" x14ac:dyDescent="0.3">
      <c r="A65" t="s">
        <v>60</v>
      </c>
      <c r="B65" t="s">
        <v>70</v>
      </c>
      <c r="C65">
        <v>4560</v>
      </c>
      <c r="D65">
        <v>26829</v>
      </c>
      <c r="E65" s="1">
        <f t="shared" si="0"/>
        <v>0.16996533601699654</v>
      </c>
    </row>
    <row r="66" spans="1:5" x14ac:dyDescent="0.3">
      <c r="A66" t="s">
        <v>60</v>
      </c>
      <c r="B66" t="s">
        <v>71</v>
      </c>
      <c r="C66">
        <v>1254</v>
      </c>
      <c r="D66">
        <v>8224</v>
      </c>
      <c r="E66" s="1">
        <f t="shared" si="0"/>
        <v>0.15248054474708173</v>
      </c>
    </row>
    <row r="67" spans="1:5" x14ac:dyDescent="0.3">
      <c r="A67" t="s">
        <v>72</v>
      </c>
      <c r="B67" t="s">
        <v>72</v>
      </c>
      <c r="C67">
        <f>24288+1140+5249.6</f>
        <v>30677.599999999999</v>
      </c>
      <c r="D67">
        <f>141697+12163+10490</f>
        <v>164350</v>
      </c>
      <c r="E67" s="1">
        <f t="shared" ref="E67:E85" si="1">C67/D67</f>
        <v>0.18666017645269242</v>
      </c>
    </row>
    <row r="68" spans="1:5" x14ac:dyDescent="0.3">
      <c r="A68" t="s">
        <v>72</v>
      </c>
      <c r="B68" t="s">
        <v>73</v>
      </c>
      <c r="C68">
        <v>8298</v>
      </c>
      <c r="D68">
        <v>34808</v>
      </c>
      <c r="E68" s="1">
        <f t="shared" si="1"/>
        <v>0.23839347276488163</v>
      </c>
    </row>
    <row r="69" spans="1:5" x14ac:dyDescent="0.3">
      <c r="A69" t="s">
        <v>72</v>
      </c>
      <c r="B69" t="s">
        <v>74</v>
      </c>
      <c r="C69">
        <v>3905</v>
      </c>
      <c r="D69">
        <v>50562</v>
      </c>
      <c r="E69" s="1">
        <f t="shared" si="1"/>
        <v>7.7231913294569049E-2</v>
      </c>
    </row>
    <row r="70" spans="1:5" x14ac:dyDescent="0.3">
      <c r="A70" t="s">
        <v>72</v>
      </c>
      <c r="B70" t="s">
        <v>75</v>
      </c>
      <c r="C70">
        <v>4855</v>
      </c>
      <c r="D70">
        <v>16395</v>
      </c>
      <c r="E70" s="1">
        <f t="shared" si="1"/>
        <v>0.296126867947545</v>
      </c>
    </row>
    <row r="71" spans="1:5" x14ac:dyDescent="0.3">
      <c r="A71" t="s">
        <v>72</v>
      </c>
      <c r="B71" t="s">
        <v>76</v>
      </c>
      <c r="C71">
        <v>9841.2199999999993</v>
      </c>
      <c r="D71">
        <v>36088</v>
      </c>
      <c r="E71" s="1">
        <f t="shared" si="1"/>
        <v>0.27270062070494344</v>
      </c>
    </row>
    <row r="72" spans="1:5" x14ac:dyDescent="0.3">
      <c r="A72" t="s">
        <v>72</v>
      </c>
      <c r="B72" t="s">
        <v>77</v>
      </c>
      <c r="C72">
        <v>11433.71</v>
      </c>
      <c r="D72">
        <v>32416</v>
      </c>
      <c r="E72" s="1">
        <f t="shared" si="1"/>
        <v>0.35271810217176702</v>
      </c>
    </row>
    <row r="73" spans="1:5" x14ac:dyDescent="0.3">
      <c r="A73" t="s">
        <v>72</v>
      </c>
      <c r="B73" t="s">
        <v>78</v>
      </c>
      <c r="C73">
        <v>5208</v>
      </c>
      <c r="D73">
        <v>44086</v>
      </c>
      <c r="E73" s="1">
        <f t="shared" si="1"/>
        <v>0.11813274055255636</v>
      </c>
    </row>
    <row r="74" spans="1:5" x14ac:dyDescent="0.3">
      <c r="A74" t="s">
        <v>72</v>
      </c>
      <c r="B74" t="s">
        <v>79</v>
      </c>
      <c r="C74">
        <v>4479</v>
      </c>
      <c r="D74">
        <v>46351</v>
      </c>
      <c r="E74" s="1">
        <f t="shared" si="1"/>
        <v>9.6632219369592889E-2</v>
      </c>
    </row>
    <row r="75" spans="1:5" x14ac:dyDescent="0.3">
      <c r="A75" t="s">
        <v>72</v>
      </c>
      <c r="B75" t="s">
        <v>80</v>
      </c>
      <c r="C75">
        <v>5285</v>
      </c>
      <c r="D75">
        <v>20068</v>
      </c>
      <c r="E75" s="1">
        <f t="shared" si="1"/>
        <v>0.26335459437911102</v>
      </c>
    </row>
    <row r="76" spans="1:5" x14ac:dyDescent="0.3">
      <c r="A76" t="s">
        <v>72</v>
      </c>
      <c r="B76" t="s">
        <v>81</v>
      </c>
      <c r="C76">
        <v>6650</v>
      </c>
      <c r="D76">
        <v>51023</v>
      </c>
      <c r="E76" s="1">
        <f t="shared" si="1"/>
        <v>0.13033337906434353</v>
      </c>
    </row>
    <row r="77" spans="1:5" x14ac:dyDescent="0.3">
      <c r="A77" t="s">
        <v>72</v>
      </c>
      <c r="B77" t="s">
        <v>82</v>
      </c>
      <c r="C77">
        <v>16475</v>
      </c>
      <c r="D77">
        <v>26672</v>
      </c>
      <c r="E77" s="1">
        <f t="shared" si="1"/>
        <v>0.61768896220755853</v>
      </c>
    </row>
    <row r="78" spans="1:5" x14ac:dyDescent="0.3">
      <c r="A78" t="s">
        <v>72</v>
      </c>
      <c r="B78" t="s">
        <v>83</v>
      </c>
      <c r="C78" t="s">
        <v>41</v>
      </c>
      <c r="D78" t="s">
        <v>84</v>
      </c>
      <c r="E78" s="1" t="e">
        <f t="shared" si="1"/>
        <v>#VALUE!</v>
      </c>
    </row>
    <row r="79" spans="1:5" x14ac:dyDescent="0.3">
      <c r="A79" t="s">
        <v>72</v>
      </c>
      <c r="B79" t="s">
        <v>85</v>
      </c>
      <c r="C79" t="s">
        <v>41</v>
      </c>
      <c r="D79" t="s">
        <v>84</v>
      </c>
      <c r="E79" s="1" t="e">
        <f t="shared" si="1"/>
        <v>#VALUE!</v>
      </c>
    </row>
    <row r="80" spans="1:5" x14ac:dyDescent="0.3">
      <c r="A80" t="s">
        <v>86</v>
      </c>
      <c r="B80" t="s">
        <v>86</v>
      </c>
      <c r="C80">
        <v>20400</v>
      </c>
      <c r="D80">
        <v>116457</v>
      </c>
      <c r="E80" s="1">
        <f t="shared" si="1"/>
        <v>0.1751719518792344</v>
      </c>
    </row>
    <row r="81" spans="1:5" x14ac:dyDescent="0.3">
      <c r="A81" t="s">
        <v>86</v>
      </c>
      <c r="B81" t="s">
        <v>87</v>
      </c>
      <c r="C81">
        <v>22912.799999999999</v>
      </c>
      <c r="D81">
        <v>146320</v>
      </c>
      <c r="E81" s="1">
        <f t="shared" si="1"/>
        <v>0.15659376708583925</v>
      </c>
    </row>
    <row r="82" spans="1:5" x14ac:dyDescent="0.3">
      <c r="A82" t="s">
        <v>86</v>
      </c>
      <c r="B82" t="s">
        <v>88</v>
      </c>
      <c r="C82">
        <v>6627.6</v>
      </c>
      <c r="D82">
        <v>63765</v>
      </c>
      <c r="E82" s="1">
        <f t="shared" si="1"/>
        <v>0.10393789696541991</v>
      </c>
    </row>
    <row r="83" spans="1:5" x14ac:dyDescent="0.3">
      <c r="A83" t="s">
        <v>86</v>
      </c>
      <c r="B83" t="s">
        <v>89</v>
      </c>
      <c r="C83">
        <v>7860</v>
      </c>
      <c r="D83">
        <v>48906</v>
      </c>
      <c r="E83" s="1">
        <f t="shared" si="1"/>
        <v>0.1607164765059502</v>
      </c>
    </row>
    <row r="84" spans="1:5" x14ac:dyDescent="0.3">
      <c r="A84" t="s">
        <v>86</v>
      </c>
      <c r="B84" t="s">
        <v>90</v>
      </c>
      <c r="C84">
        <v>5892</v>
      </c>
      <c r="D84">
        <v>45329</v>
      </c>
      <c r="E84" s="1">
        <f t="shared" si="1"/>
        <v>0.12998301308213286</v>
      </c>
    </row>
    <row r="85" spans="1:5" x14ac:dyDescent="0.3">
      <c r="A85" t="s">
        <v>86</v>
      </c>
      <c r="B85" t="s">
        <v>91</v>
      </c>
      <c r="C85">
        <v>8311.2000000000007</v>
      </c>
      <c r="D85">
        <v>49606</v>
      </c>
      <c r="E85" s="1">
        <f t="shared" si="1"/>
        <v>0.16754424867959522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EB0F-2E17-4F0E-8B19-72F1D0DA378D}">
  <dimension ref="A1:G24"/>
  <sheetViews>
    <sheetView topLeftCell="C1" workbookViewId="0">
      <selection activeCell="G2" sqref="G2:G22"/>
    </sheetView>
  </sheetViews>
  <sheetFormatPr defaultRowHeight="14.4" x14ac:dyDescent="0.3"/>
  <cols>
    <col min="2" max="2" width="18.44140625" bestFit="1" customWidth="1"/>
    <col min="3" max="3" width="27.77734375" bestFit="1" customWidth="1"/>
    <col min="4" max="4" width="27.77734375" customWidth="1"/>
    <col min="5" max="5" width="23.44140625" bestFit="1" customWidth="1"/>
    <col min="6" max="6" width="13.33203125" bestFit="1" customWidth="1"/>
    <col min="7" max="7" width="12.6640625" bestFit="1" customWidth="1"/>
    <col min="8" max="9" width="12.44140625" bestFit="1" customWidth="1"/>
  </cols>
  <sheetData>
    <row r="1" spans="1:7" x14ac:dyDescent="0.3">
      <c r="A1" t="s">
        <v>0</v>
      </c>
      <c r="B1" t="s">
        <v>1</v>
      </c>
      <c r="C1" t="s">
        <v>99</v>
      </c>
      <c r="D1" t="s">
        <v>100</v>
      </c>
      <c r="E1" t="s">
        <v>106</v>
      </c>
      <c r="G1" t="s">
        <v>108</v>
      </c>
    </row>
    <row r="2" spans="1:7" x14ac:dyDescent="0.3">
      <c r="A2" t="s">
        <v>5</v>
      </c>
      <c r="B2" t="s">
        <v>5</v>
      </c>
      <c r="C2" s="3">
        <v>2266</v>
      </c>
      <c r="D2" s="3">
        <f>1.1*C2</f>
        <v>2492.6000000000004</v>
      </c>
      <c r="E2" s="3">
        <f>(100/$C$22)*C2</f>
        <v>17.585330760980742</v>
      </c>
      <c r="F2" s="1">
        <f>E2/100</f>
        <v>0.17585330760980741</v>
      </c>
      <c r="G2" s="3">
        <f>F2*$C$24</f>
        <v>13808.020631049325</v>
      </c>
    </row>
    <row r="3" spans="1:7" x14ac:dyDescent="0.3">
      <c r="A3" t="s">
        <v>5</v>
      </c>
      <c r="B3" t="s">
        <v>6</v>
      </c>
      <c r="C3" s="3">
        <v>1173</v>
      </c>
      <c r="D3" s="3">
        <f t="shared" ref="D3:D21" si="0">1.1*C3</f>
        <v>1290.3000000000002</v>
      </c>
      <c r="E3" s="3">
        <f t="shared" ref="E3:E21" si="1">(100/$C$22)*C3</f>
        <v>9.103086047056669</v>
      </c>
      <c r="F3" s="1">
        <f t="shared" ref="F3:G22" si="2">E3/100</f>
        <v>9.1030860470566688E-2</v>
      </c>
      <c r="G3" s="3">
        <f t="shared" ref="G3:G21" si="3">F3*$C$24</f>
        <v>7147.7529568494529</v>
      </c>
    </row>
    <row r="4" spans="1:7" x14ac:dyDescent="0.3">
      <c r="A4" t="s">
        <v>5</v>
      </c>
      <c r="B4" t="s">
        <v>7</v>
      </c>
      <c r="C4" s="3">
        <v>1800</v>
      </c>
      <c r="D4" s="3">
        <f t="shared" si="0"/>
        <v>1980.0000000000002</v>
      </c>
      <c r="E4" s="3">
        <f t="shared" si="1"/>
        <v>13.96892999548338</v>
      </c>
      <c r="F4" s="1">
        <f t="shared" si="2"/>
        <v>0.13968929995483381</v>
      </c>
      <c r="G4" s="3">
        <f t="shared" si="3"/>
        <v>10968.418859615529</v>
      </c>
    </row>
    <row r="5" spans="1:7" x14ac:dyDescent="0.3">
      <c r="A5" t="s">
        <v>5</v>
      </c>
      <c r="B5" t="s">
        <v>8</v>
      </c>
      <c r="C5" s="3">
        <v>217</v>
      </c>
      <c r="D5" s="3">
        <f t="shared" si="0"/>
        <v>238.70000000000002</v>
      </c>
      <c r="E5" s="3">
        <f t="shared" si="1"/>
        <v>1.684032116122163</v>
      </c>
      <c r="F5" s="1">
        <f t="shared" si="2"/>
        <v>1.6840321161221628E-2</v>
      </c>
      <c r="G5" s="3">
        <f t="shared" si="3"/>
        <v>1322.303829186983</v>
      </c>
    </row>
    <row r="6" spans="1:7" x14ac:dyDescent="0.3">
      <c r="A6" t="s">
        <v>5</v>
      </c>
      <c r="B6" t="s">
        <v>9</v>
      </c>
      <c r="C6" s="3">
        <v>112</v>
      </c>
      <c r="D6" s="3">
        <f t="shared" si="0"/>
        <v>123.20000000000002</v>
      </c>
      <c r="E6" s="3">
        <f t="shared" si="1"/>
        <v>0.86917786638563255</v>
      </c>
      <c r="F6" s="1">
        <f t="shared" si="2"/>
        <v>8.6917786638563248E-3</v>
      </c>
      <c r="G6" s="3">
        <f t="shared" si="3"/>
        <v>682.4793957094106</v>
      </c>
    </row>
    <row r="7" spans="1:7" x14ac:dyDescent="0.3">
      <c r="A7" t="s">
        <v>5</v>
      </c>
      <c r="B7" t="s">
        <v>10</v>
      </c>
      <c r="C7" s="3">
        <v>386</v>
      </c>
      <c r="D7" s="3">
        <f t="shared" si="0"/>
        <v>424.6</v>
      </c>
      <c r="E7" s="3">
        <f t="shared" si="1"/>
        <v>2.9955594323647694</v>
      </c>
      <c r="F7" s="1">
        <f t="shared" si="2"/>
        <v>2.9955594323647694E-2</v>
      </c>
      <c r="G7" s="3">
        <f t="shared" si="3"/>
        <v>2352.1164887842192</v>
      </c>
    </row>
    <row r="8" spans="1:7" x14ac:dyDescent="0.3">
      <c r="A8" t="s">
        <v>5</v>
      </c>
      <c r="B8" t="s">
        <v>11</v>
      </c>
      <c r="C8" s="3">
        <v>907</v>
      </c>
      <c r="D8" s="3">
        <f t="shared" si="0"/>
        <v>997.7</v>
      </c>
      <c r="E8" s="3">
        <f t="shared" si="1"/>
        <v>7.0387886143907918</v>
      </c>
      <c r="F8" s="1">
        <f t="shared" si="2"/>
        <v>7.0387886143907924E-2</v>
      </c>
      <c r="G8" s="3">
        <f t="shared" si="3"/>
        <v>5526.8643920396025</v>
      </c>
    </row>
    <row r="9" spans="1:7" x14ac:dyDescent="0.3">
      <c r="A9" t="s">
        <v>5</v>
      </c>
      <c r="B9" t="s">
        <v>12</v>
      </c>
      <c r="C9" s="3">
        <v>169</v>
      </c>
      <c r="D9" s="3">
        <f t="shared" si="0"/>
        <v>185.9</v>
      </c>
      <c r="E9" s="3">
        <f t="shared" si="1"/>
        <v>1.3115273162426062</v>
      </c>
      <c r="F9" s="1">
        <f t="shared" si="2"/>
        <v>1.3115273162426062E-2</v>
      </c>
      <c r="G9" s="3">
        <f t="shared" si="3"/>
        <v>1029.8126595972358</v>
      </c>
    </row>
    <row r="10" spans="1:7" x14ac:dyDescent="0.3">
      <c r="A10" t="s">
        <v>5</v>
      </c>
      <c r="B10" t="s">
        <v>13</v>
      </c>
      <c r="C10" s="3">
        <v>978</v>
      </c>
      <c r="D10" s="3">
        <f t="shared" si="0"/>
        <v>1075.8000000000002</v>
      </c>
      <c r="E10" s="3">
        <f t="shared" si="1"/>
        <v>7.5897852975459701</v>
      </c>
      <c r="F10" s="1">
        <f t="shared" si="2"/>
        <v>7.5897852975459701E-2</v>
      </c>
      <c r="G10" s="3">
        <f t="shared" si="3"/>
        <v>5959.5075803911041</v>
      </c>
    </row>
    <row r="11" spans="1:7" x14ac:dyDescent="0.3">
      <c r="A11" t="s">
        <v>5</v>
      </c>
      <c r="B11" t="s">
        <v>14</v>
      </c>
      <c r="C11" s="3">
        <v>0</v>
      </c>
      <c r="D11" s="3">
        <f t="shared" si="0"/>
        <v>0</v>
      </c>
      <c r="E11" s="3">
        <f t="shared" si="1"/>
        <v>0</v>
      </c>
      <c r="F11" s="1">
        <f t="shared" si="2"/>
        <v>0</v>
      </c>
      <c r="G11" s="3">
        <f t="shared" si="3"/>
        <v>0</v>
      </c>
    </row>
    <row r="12" spans="1:7" x14ac:dyDescent="0.3">
      <c r="A12" t="s">
        <v>5</v>
      </c>
      <c r="B12" t="s">
        <v>15</v>
      </c>
      <c r="C12" s="3">
        <v>53</v>
      </c>
      <c r="D12" s="3">
        <f t="shared" si="0"/>
        <v>58.300000000000004</v>
      </c>
      <c r="E12" s="3">
        <f t="shared" si="1"/>
        <v>0.41130738320034399</v>
      </c>
      <c r="F12" s="1">
        <f t="shared" si="2"/>
        <v>4.1130738320034402E-3</v>
      </c>
      <c r="G12" s="3">
        <f t="shared" si="3"/>
        <v>322.95899975534616</v>
      </c>
    </row>
    <row r="13" spans="1:7" x14ac:dyDescent="0.3">
      <c r="A13" t="s">
        <v>5</v>
      </c>
      <c r="B13" t="s">
        <v>16</v>
      </c>
      <c r="C13" s="3">
        <v>365</v>
      </c>
      <c r="D13" s="3">
        <f t="shared" si="0"/>
        <v>401.50000000000006</v>
      </c>
      <c r="E13" s="3">
        <f t="shared" si="1"/>
        <v>2.832588582417463</v>
      </c>
      <c r="F13" s="1">
        <f t="shared" si="2"/>
        <v>2.832588582417463E-2</v>
      </c>
      <c r="G13" s="3">
        <f t="shared" si="3"/>
        <v>2224.1516020887043</v>
      </c>
    </row>
    <row r="14" spans="1:7" x14ac:dyDescent="0.3">
      <c r="A14" t="s">
        <v>5</v>
      </c>
      <c r="B14" t="s">
        <v>17</v>
      </c>
      <c r="C14" s="3">
        <v>188</v>
      </c>
      <c r="D14" s="3">
        <f t="shared" si="0"/>
        <v>206.8</v>
      </c>
      <c r="E14" s="3">
        <f t="shared" si="1"/>
        <v>1.4589771328615975</v>
      </c>
      <c r="F14" s="1">
        <f t="shared" si="2"/>
        <v>1.4589771328615974E-2</v>
      </c>
      <c r="G14" s="3">
        <f t="shared" si="3"/>
        <v>1145.5904142265108</v>
      </c>
    </row>
    <row r="15" spans="1:7" x14ac:dyDescent="0.3">
      <c r="A15" t="s">
        <v>5</v>
      </c>
      <c r="B15" t="s">
        <v>18</v>
      </c>
      <c r="C15" s="3">
        <v>360</v>
      </c>
      <c r="D15" s="3">
        <f t="shared" si="0"/>
        <v>396.00000000000006</v>
      </c>
      <c r="E15" s="3">
        <f t="shared" si="1"/>
        <v>2.7937859990966758</v>
      </c>
      <c r="F15" s="1">
        <f t="shared" si="2"/>
        <v>2.7937859990966759E-2</v>
      </c>
      <c r="G15" s="3">
        <f t="shared" si="3"/>
        <v>2193.6837719231057</v>
      </c>
    </row>
    <row r="16" spans="1:7" x14ac:dyDescent="0.3">
      <c r="A16" t="s">
        <v>5</v>
      </c>
      <c r="B16" t="s">
        <v>19</v>
      </c>
      <c r="C16" s="3">
        <v>442</v>
      </c>
      <c r="D16" s="3">
        <f t="shared" si="0"/>
        <v>486.20000000000005</v>
      </c>
      <c r="E16" s="3">
        <f t="shared" si="1"/>
        <v>3.4301483655575855</v>
      </c>
      <c r="F16" s="1">
        <f t="shared" si="2"/>
        <v>3.4301483655575858E-2</v>
      </c>
      <c r="G16" s="3">
        <f t="shared" si="3"/>
        <v>2693.3561866389246</v>
      </c>
    </row>
    <row r="17" spans="1:7" x14ac:dyDescent="0.3">
      <c r="A17" t="s">
        <v>5</v>
      </c>
      <c r="B17" t="s">
        <v>20</v>
      </c>
      <c r="C17" s="3">
        <v>1.74</v>
      </c>
      <c r="D17" s="3">
        <f t="shared" si="0"/>
        <v>1.9140000000000001</v>
      </c>
      <c r="E17" s="3">
        <f t="shared" si="1"/>
        <v>1.3503298995633933E-2</v>
      </c>
      <c r="F17" s="1">
        <f t="shared" si="2"/>
        <v>1.3503298995633933E-4</v>
      </c>
      <c r="G17" s="3">
        <f t="shared" si="3"/>
        <v>10.602804897628344</v>
      </c>
    </row>
    <row r="18" spans="1:7" x14ac:dyDescent="0.3">
      <c r="A18" t="s">
        <v>5</v>
      </c>
      <c r="B18" t="s">
        <v>21</v>
      </c>
      <c r="C18" s="3">
        <v>88</v>
      </c>
      <c r="D18" s="3">
        <f t="shared" si="0"/>
        <v>96.800000000000011</v>
      </c>
      <c r="E18" s="3">
        <f t="shared" si="1"/>
        <v>0.68292546644585417</v>
      </c>
      <c r="F18" s="1">
        <f t="shared" si="2"/>
        <v>6.8292546644585419E-3</v>
      </c>
      <c r="G18" s="3">
        <f t="shared" si="3"/>
        <v>536.233810914537</v>
      </c>
    </row>
    <row r="19" spans="1:7" x14ac:dyDescent="0.3">
      <c r="A19" t="s">
        <v>5</v>
      </c>
      <c r="B19" t="s">
        <v>22</v>
      </c>
      <c r="C19" s="3">
        <v>265</v>
      </c>
      <c r="D19" s="3">
        <f t="shared" si="0"/>
        <v>291.5</v>
      </c>
      <c r="E19" s="3">
        <f t="shared" si="1"/>
        <v>2.0565369160017197</v>
      </c>
      <c r="F19" s="1">
        <f t="shared" si="2"/>
        <v>2.0565369160017197E-2</v>
      </c>
      <c r="G19" s="3">
        <f t="shared" si="3"/>
        <v>1614.7949987767306</v>
      </c>
    </row>
    <row r="20" spans="1:7" x14ac:dyDescent="0.3">
      <c r="A20" t="s">
        <v>5</v>
      </c>
      <c r="B20" t="s">
        <v>23</v>
      </c>
      <c r="C20" s="3">
        <v>2927</v>
      </c>
      <c r="D20" s="3">
        <f t="shared" si="0"/>
        <v>3219.7000000000003</v>
      </c>
      <c r="E20" s="3">
        <f t="shared" si="1"/>
        <v>22.715032275988808</v>
      </c>
      <c r="F20" s="1">
        <f t="shared" si="2"/>
        <v>0.22715032275988808</v>
      </c>
      <c r="G20" s="3">
        <f t="shared" si="3"/>
        <v>17835.867778941476</v>
      </c>
    </row>
    <row r="21" spans="1:7" x14ac:dyDescent="0.3">
      <c r="A21" t="s">
        <v>5</v>
      </c>
      <c r="B21" t="s">
        <v>24</v>
      </c>
      <c r="C21" s="3">
        <v>188</v>
      </c>
      <c r="D21" s="3">
        <f t="shared" si="0"/>
        <v>206.8</v>
      </c>
      <c r="E21" s="3">
        <f t="shared" si="1"/>
        <v>1.4589771328615975</v>
      </c>
      <c r="F21" s="1">
        <f t="shared" si="2"/>
        <v>1.4589771328615974E-2</v>
      </c>
      <c r="G21" s="3">
        <f t="shared" si="3"/>
        <v>1145.5904142265108</v>
      </c>
    </row>
    <row r="22" spans="1:7" x14ac:dyDescent="0.3">
      <c r="B22" t="s">
        <v>98</v>
      </c>
      <c r="C22" s="3">
        <f>SUM(C2:C21)</f>
        <v>12885.74</v>
      </c>
      <c r="D22" s="3"/>
      <c r="E22" s="3">
        <f>SUM(E2:E21)</f>
        <v>99.999999999999972</v>
      </c>
      <c r="F22" s="3">
        <f t="shared" ref="F22:G22" si="4">SUM(F2:F21)</f>
        <v>0.99999999999999989</v>
      </c>
      <c r="G22" s="3">
        <f t="shared" si="4"/>
        <v>78520.107575612317</v>
      </c>
    </row>
    <row r="24" spans="1:7" x14ac:dyDescent="0.3">
      <c r="B24" t="s">
        <v>107</v>
      </c>
      <c r="C24">
        <v>78520.107575612332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6525-EB20-4DA6-B643-0D22B365886A}">
  <dimension ref="A1:G24"/>
  <sheetViews>
    <sheetView topLeftCell="C1" workbookViewId="0">
      <selection activeCell="G2" sqref="G2:G18"/>
    </sheetView>
  </sheetViews>
  <sheetFormatPr defaultRowHeight="14.4" x14ac:dyDescent="0.3"/>
  <cols>
    <col min="2" max="2" width="10.88671875" bestFit="1" customWidth="1"/>
    <col min="3" max="3" width="28.33203125" bestFit="1" customWidth="1"/>
    <col min="4" max="4" width="26.77734375" bestFit="1" customWidth="1"/>
    <col min="5" max="5" width="23.109375" bestFit="1" customWidth="1"/>
    <col min="6" max="6" width="6.5546875" bestFit="1" customWidth="1"/>
    <col min="7" max="7" width="12.6640625" bestFit="1" customWidth="1"/>
    <col min="8" max="8" width="12.44140625" bestFit="1" customWidth="1"/>
  </cols>
  <sheetData>
    <row r="1" spans="1:7" x14ac:dyDescent="0.3">
      <c r="A1" t="s">
        <v>0</v>
      </c>
      <c r="B1" t="s">
        <v>1</v>
      </c>
      <c r="C1" t="s">
        <v>99</v>
      </c>
      <c r="D1" t="s">
        <v>100</v>
      </c>
      <c r="E1" t="s">
        <v>105</v>
      </c>
      <c r="G1" t="s">
        <v>108</v>
      </c>
    </row>
    <row r="2" spans="1:7" x14ac:dyDescent="0.3">
      <c r="A2" t="s">
        <v>25</v>
      </c>
      <c r="B2" t="s">
        <v>25</v>
      </c>
      <c r="C2" s="3">
        <v>965.5</v>
      </c>
      <c r="D2" s="3">
        <f>1.1*C2</f>
        <v>1062.0500000000002</v>
      </c>
      <c r="E2" s="3">
        <f>(100/$C$22)*C2</f>
        <v>14.019573677179531</v>
      </c>
      <c r="F2" s="1">
        <f>E2/100</f>
        <v>0.14019573677179531</v>
      </c>
      <c r="G2" s="3">
        <f>F2*$C$24</f>
        <v>5883.3380049771076</v>
      </c>
    </row>
    <row r="3" spans="1:7" x14ac:dyDescent="0.3">
      <c r="A3" t="s">
        <v>25</v>
      </c>
      <c r="B3" t="s">
        <v>26</v>
      </c>
      <c r="C3" s="3">
        <v>191.1</v>
      </c>
      <c r="D3" s="3">
        <f t="shared" ref="D3:D17" si="0">1.1*C3</f>
        <v>210.21</v>
      </c>
      <c r="E3" s="3">
        <f t="shared" ref="E3:E17" si="1">(100/$C$22)*C3</f>
        <v>2.7748736713713189</v>
      </c>
      <c r="F3" s="1">
        <f t="shared" ref="F3:F18" si="2">E3/100</f>
        <v>2.7748736713713189E-2</v>
      </c>
      <c r="G3" s="3">
        <f t="shared" ref="G3:G18" si="3">F3*$C$24</f>
        <v>1164.4804689291821</v>
      </c>
    </row>
    <row r="4" spans="1:7" x14ac:dyDescent="0.3">
      <c r="A4" t="s">
        <v>25</v>
      </c>
      <c r="B4" t="s">
        <v>27</v>
      </c>
      <c r="C4" s="3">
        <v>725</v>
      </c>
      <c r="D4" s="3">
        <f t="shared" si="0"/>
        <v>797.50000000000011</v>
      </c>
      <c r="E4" s="3">
        <f t="shared" si="1"/>
        <v>10.527385723412905</v>
      </c>
      <c r="F4" s="1">
        <f t="shared" si="2"/>
        <v>0.10527385723412905</v>
      </c>
      <c r="G4" s="3">
        <f t="shared" si="3"/>
        <v>4417.83537401181</v>
      </c>
    </row>
    <row r="5" spans="1:7" x14ac:dyDescent="0.3">
      <c r="A5" t="s">
        <v>25</v>
      </c>
      <c r="B5" t="s">
        <v>28</v>
      </c>
      <c r="C5" s="3">
        <v>50</v>
      </c>
      <c r="D5" s="3">
        <f t="shared" si="0"/>
        <v>55.000000000000007</v>
      </c>
      <c r="E5" s="3">
        <f t="shared" si="1"/>
        <v>0.72602660161468313</v>
      </c>
      <c r="F5" s="1">
        <f t="shared" si="2"/>
        <v>7.2602660161468317E-3</v>
      </c>
      <c r="G5" s="3">
        <f t="shared" si="3"/>
        <v>304.67830165598696</v>
      </c>
    </row>
    <row r="6" spans="1:7" x14ac:dyDescent="0.3">
      <c r="A6" t="s">
        <v>25</v>
      </c>
      <c r="B6" t="s">
        <v>29</v>
      </c>
      <c r="C6" s="3">
        <v>519</v>
      </c>
      <c r="D6" s="3">
        <f t="shared" si="0"/>
        <v>570.90000000000009</v>
      </c>
      <c r="E6" s="3">
        <f t="shared" si="1"/>
        <v>7.536156124760411</v>
      </c>
      <c r="F6" s="1">
        <f t="shared" si="2"/>
        <v>7.5361561247604111E-2</v>
      </c>
      <c r="G6" s="3">
        <f t="shared" si="3"/>
        <v>3162.5607711891444</v>
      </c>
    </row>
    <row r="7" spans="1:7" x14ac:dyDescent="0.3">
      <c r="A7" t="s">
        <v>25</v>
      </c>
      <c r="B7" t="s">
        <v>30</v>
      </c>
      <c r="C7" s="3">
        <v>275</v>
      </c>
      <c r="D7" s="3">
        <f t="shared" si="0"/>
        <v>302.5</v>
      </c>
      <c r="E7" s="3">
        <f t="shared" si="1"/>
        <v>3.9931463088807573</v>
      </c>
      <c r="F7" s="1">
        <f t="shared" si="2"/>
        <v>3.9931463088807573E-2</v>
      </c>
      <c r="G7" s="3">
        <f t="shared" si="3"/>
        <v>1675.7306591079282</v>
      </c>
    </row>
    <row r="8" spans="1:7" x14ac:dyDescent="0.3">
      <c r="A8" t="s">
        <v>25</v>
      </c>
      <c r="B8" t="s">
        <v>31</v>
      </c>
      <c r="C8" s="3">
        <v>3.5</v>
      </c>
      <c r="D8" s="3">
        <f t="shared" si="0"/>
        <v>3.8500000000000005</v>
      </c>
      <c r="E8" s="3">
        <f t="shared" si="1"/>
        <v>5.0821862113027819E-2</v>
      </c>
      <c r="F8" s="1">
        <f t="shared" si="2"/>
        <v>5.0821862113027824E-4</v>
      </c>
      <c r="G8" s="3">
        <f t="shared" si="3"/>
        <v>21.327481115919088</v>
      </c>
    </row>
    <row r="9" spans="1:7" x14ac:dyDescent="0.3">
      <c r="A9" t="s">
        <v>25</v>
      </c>
      <c r="B9" t="s">
        <v>32</v>
      </c>
      <c r="C9" s="3">
        <v>1274</v>
      </c>
      <c r="D9" s="3">
        <f t="shared" si="0"/>
        <v>1401.4</v>
      </c>
      <c r="E9" s="3">
        <f t="shared" si="1"/>
        <v>18.499157809142126</v>
      </c>
      <c r="F9" s="1">
        <f t="shared" si="2"/>
        <v>0.18499157809142125</v>
      </c>
      <c r="G9" s="3">
        <f t="shared" si="3"/>
        <v>7763.2031261945467</v>
      </c>
    </row>
    <row r="10" spans="1:7" x14ac:dyDescent="0.3">
      <c r="A10" t="s">
        <v>25</v>
      </c>
      <c r="B10" t="s">
        <v>33</v>
      </c>
      <c r="C10" s="3">
        <v>165</v>
      </c>
      <c r="D10" s="3">
        <f t="shared" si="0"/>
        <v>181.50000000000003</v>
      </c>
      <c r="E10" s="3">
        <f t="shared" si="1"/>
        <v>2.3958877853284544</v>
      </c>
      <c r="F10" s="1">
        <f t="shared" si="2"/>
        <v>2.3958877853284544E-2</v>
      </c>
      <c r="G10" s="3">
        <f t="shared" si="3"/>
        <v>1005.4383954647569</v>
      </c>
    </row>
    <row r="11" spans="1:7" x14ac:dyDescent="0.3">
      <c r="A11" t="s">
        <v>25</v>
      </c>
      <c r="B11" t="s">
        <v>34</v>
      </c>
      <c r="C11" s="3">
        <v>2145</v>
      </c>
      <c r="D11" s="3">
        <f t="shared" si="0"/>
        <v>2359.5</v>
      </c>
      <c r="E11" s="3">
        <f t="shared" si="1"/>
        <v>31.146541209269909</v>
      </c>
      <c r="F11" s="1">
        <f t="shared" si="2"/>
        <v>0.31146541209269907</v>
      </c>
      <c r="G11" s="3">
        <f t="shared" si="3"/>
        <v>13070.69914104184</v>
      </c>
    </row>
    <row r="12" spans="1:7" x14ac:dyDescent="0.3">
      <c r="A12" t="s">
        <v>25</v>
      </c>
      <c r="B12" t="s">
        <v>35</v>
      </c>
      <c r="C12" s="3">
        <v>52.7</v>
      </c>
      <c r="D12" s="3">
        <f t="shared" si="0"/>
        <v>57.970000000000006</v>
      </c>
      <c r="E12" s="3">
        <f t="shared" si="1"/>
        <v>0.76523203810187612</v>
      </c>
      <c r="F12" s="1">
        <f t="shared" si="2"/>
        <v>7.6523203810187615E-3</v>
      </c>
      <c r="G12" s="3">
        <f t="shared" si="3"/>
        <v>321.13092994541029</v>
      </c>
    </row>
    <row r="13" spans="1:7" x14ac:dyDescent="0.3">
      <c r="A13" t="s">
        <v>25</v>
      </c>
      <c r="B13" t="s">
        <v>36</v>
      </c>
      <c r="C13" s="3">
        <v>145.5</v>
      </c>
      <c r="D13" s="3">
        <f t="shared" si="0"/>
        <v>160.05000000000001</v>
      </c>
      <c r="E13" s="3">
        <f t="shared" si="1"/>
        <v>2.112737410698728</v>
      </c>
      <c r="F13" s="1">
        <f t="shared" si="2"/>
        <v>2.1127374106987281E-2</v>
      </c>
      <c r="G13" s="3">
        <f t="shared" si="3"/>
        <v>886.61385781892204</v>
      </c>
    </row>
    <row r="14" spans="1:7" x14ac:dyDescent="0.3">
      <c r="A14" t="s">
        <v>25</v>
      </c>
      <c r="B14" t="s">
        <v>37</v>
      </c>
      <c r="C14" s="3">
        <v>216.7</v>
      </c>
      <c r="D14" s="3">
        <f t="shared" si="0"/>
        <v>238.37</v>
      </c>
      <c r="E14" s="3">
        <f t="shared" si="1"/>
        <v>3.1465992913980365</v>
      </c>
      <c r="F14" s="1">
        <f t="shared" si="2"/>
        <v>3.1465992913980362E-2</v>
      </c>
      <c r="G14" s="3">
        <f t="shared" si="3"/>
        <v>1320.4757593770471</v>
      </c>
    </row>
    <row r="15" spans="1:7" x14ac:dyDescent="0.3">
      <c r="A15" t="s">
        <v>25</v>
      </c>
      <c r="B15" t="s">
        <v>38</v>
      </c>
      <c r="C15" s="3">
        <v>125</v>
      </c>
      <c r="D15" s="3">
        <f t="shared" si="0"/>
        <v>137.5</v>
      </c>
      <c r="E15" s="3">
        <f t="shared" si="1"/>
        <v>1.815066504036708</v>
      </c>
      <c r="F15" s="1">
        <f t="shared" si="2"/>
        <v>1.8150665040367081E-2</v>
      </c>
      <c r="G15" s="3">
        <f t="shared" si="3"/>
        <v>761.69575413996745</v>
      </c>
    </row>
    <row r="16" spans="1:7" x14ac:dyDescent="0.3">
      <c r="A16" t="s">
        <v>25</v>
      </c>
      <c r="B16" t="s">
        <v>39</v>
      </c>
      <c r="C16" s="3">
        <v>33.799999999999997</v>
      </c>
      <c r="D16" s="3">
        <f t="shared" si="0"/>
        <v>37.18</v>
      </c>
      <c r="E16" s="3">
        <f t="shared" si="1"/>
        <v>0.4907939826915258</v>
      </c>
      <c r="F16" s="1">
        <f t="shared" si="2"/>
        <v>4.9079398269152577E-3</v>
      </c>
      <c r="G16" s="3">
        <f t="shared" si="3"/>
        <v>205.96253191944714</v>
      </c>
    </row>
    <row r="17" spans="1:7" x14ac:dyDescent="0.3">
      <c r="A17" t="s">
        <v>25</v>
      </c>
      <c r="B17" t="s">
        <v>40</v>
      </c>
      <c r="C17" s="3"/>
      <c r="D17" s="3">
        <f t="shared" si="0"/>
        <v>0</v>
      </c>
      <c r="E17" s="3">
        <f t="shared" si="1"/>
        <v>0</v>
      </c>
      <c r="F17" s="1">
        <f t="shared" si="2"/>
        <v>0</v>
      </c>
      <c r="G17" s="3">
        <f t="shared" si="3"/>
        <v>0</v>
      </c>
    </row>
    <row r="18" spans="1:7" x14ac:dyDescent="0.3">
      <c r="E18" s="3">
        <f>SUM(E2:E17)</f>
        <v>100</v>
      </c>
      <c r="F18" s="3">
        <f t="shared" ref="F18:G18" si="4">SUM(F2:F17)</f>
        <v>0.99999999999999989</v>
      </c>
      <c r="G18" s="3">
        <f t="shared" si="4"/>
        <v>41965.170556889017</v>
      </c>
    </row>
    <row r="22" spans="1:7" x14ac:dyDescent="0.3">
      <c r="B22" t="s">
        <v>98</v>
      </c>
      <c r="C22" s="3">
        <f>SUM(C2:C17)</f>
        <v>6886.8</v>
      </c>
    </row>
    <row r="24" spans="1:7" x14ac:dyDescent="0.3">
      <c r="B24" t="s">
        <v>97</v>
      </c>
      <c r="C24">
        <v>41965.170556889017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5E5B-9084-462C-B118-2B410FAD980E}">
  <dimension ref="A1:H24"/>
  <sheetViews>
    <sheetView topLeftCell="C1" workbookViewId="0">
      <selection activeCell="G2" sqref="G2:G9"/>
    </sheetView>
  </sheetViews>
  <sheetFormatPr defaultRowHeight="14.4" x14ac:dyDescent="0.3"/>
  <cols>
    <col min="2" max="2" width="10.88671875" bestFit="1" customWidth="1"/>
    <col min="3" max="3" width="28.33203125" bestFit="1" customWidth="1"/>
    <col min="4" max="4" width="26.77734375" bestFit="1" customWidth="1"/>
    <col min="5" max="5" width="23.44140625" bestFit="1" customWidth="1"/>
    <col min="6" max="6" width="6.5546875" bestFit="1" customWidth="1"/>
    <col min="7" max="7" width="12.6640625" bestFit="1" customWidth="1"/>
    <col min="8" max="8" width="12.44140625" bestFit="1" customWidth="1"/>
  </cols>
  <sheetData>
    <row r="1" spans="1:8" x14ac:dyDescent="0.3">
      <c r="A1" t="s">
        <v>0</v>
      </c>
      <c r="B1" t="s">
        <v>1</v>
      </c>
      <c r="C1" t="s">
        <v>99</v>
      </c>
      <c r="D1" t="s">
        <v>100</v>
      </c>
      <c r="E1" t="s">
        <v>106</v>
      </c>
      <c r="G1" t="s">
        <v>108</v>
      </c>
    </row>
    <row r="2" spans="1:8" x14ac:dyDescent="0.3">
      <c r="A2" t="s">
        <v>42</v>
      </c>
      <c r="B2" t="s">
        <v>42</v>
      </c>
      <c r="C2" s="3">
        <v>164.2</v>
      </c>
      <c r="D2" s="3">
        <f>1.1*C2</f>
        <v>180.62</v>
      </c>
      <c r="E2" s="3">
        <f>(100/$C$22)*C2</f>
        <v>2.7887133535551847</v>
      </c>
      <c r="F2" s="1">
        <f>E2/100</f>
        <v>2.7887133535551847E-2</v>
      </c>
      <c r="G2" s="3">
        <f>F2*$C$24</f>
        <v>1000.5635426382611</v>
      </c>
      <c r="H2" s="2"/>
    </row>
    <row r="3" spans="1:8" x14ac:dyDescent="0.3">
      <c r="A3" t="s">
        <v>42</v>
      </c>
      <c r="B3" t="s">
        <v>43</v>
      </c>
      <c r="C3" s="3">
        <v>100</v>
      </c>
      <c r="D3" s="3">
        <f t="shared" ref="D3:D9" si="0">1.1*C3</f>
        <v>110.00000000000001</v>
      </c>
      <c r="E3" s="3">
        <f t="shared" ref="E3:E9" si="1">(100/$C$22)*C3</f>
        <v>1.6983637963186267</v>
      </c>
      <c r="F3" s="1">
        <f t="shared" ref="F3:F9" si="2">E3/100</f>
        <v>1.6983637963186266E-2</v>
      </c>
      <c r="G3" s="3">
        <f t="shared" ref="G3:G9" si="3">F3*$C$24</f>
        <v>609.35660331197391</v>
      </c>
    </row>
    <row r="4" spans="1:8" x14ac:dyDescent="0.3">
      <c r="A4" t="s">
        <v>42</v>
      </c>
      <c r="B4" t="s">
        <v>44</v>
      </c>
      <c r="C4" s="3">
        <v>4751</v>
      </c>
      <c r="D4" s="3">
        <f t="shared" si="0"/>
        <v>5226.1000000000004</v>
      </c>
      <c r="E4" s="3">
        <f t="shared" si="1"/>
        <v>80.689263963097957</v>
      </c>
      <c r="F4" s="1">
        <f t="shared" si="2"/>
        <v>0.80689263963097957</v>
      </c>
      <c r="G4" s="3">
        <f t="shared" si="3"/>
        <v>28950.532223351882</v>
      </c>
    </row>
    <row r="5" spans="1:8" x14ac:dyDescent="0.3">
      <c r="A5" t="s">
        <v>42</v>
      </c>
      <c r="B5" t="s">
        <v>45</v>
      </c>
      <c r="C5" s="3">
        <v>92.12</v>
      </c>
      <c r="D5" s="3">
        <f t="shared" si="0"/>
        <v>101.33200000000001</v>
      </c>
      <c r="E5" s="3">
        <f t="shared" si="1"/>
        <v>1.564532729168719</v>
      </c>
      <c r="F5" s="1">
        <f t="shared" si="2"/>
        <v>1.5645327291687189E-2</v>
      </c>
      <c r="G5" s="3">
        <f t="shared" si="3"/>
        <v>561.33930297099039</v>
      </c>
    </row>
    <row r="6" spans="1:8" x14ac:dyDescent="0.3">
      <c r="A6" t="s">
        <v>42</v>
      </c>
      <c r="B6" t="s">
        <v>46</v>
      </c>
      <c r="C6" s="3">
        <v>247</v>
      </c>
      <c r="D6" s="3">
        <f t="shared" si="0"/>
        <v>271.70000000000005</v>
      </c>
      <c r="E6" s="3">
        <f t="shared" si="1"/>
        <v>4.1949585769070081</v>
      </c>
      <c r="F6" s="1">
        <f t="shared" si="2"/>
        <v>4.1949585769070083E-2</v>
      </c>
      <c r="G6" s="3">
        <f t="shared" si="3"/>
        <v>1505.1108101805758</v>
      </c>
    </row>
    <row r="7" spans="1:8" x14ac:dyDescent="0.3">
      <c r="A7" t="s">
        <v>42</v>
      </c>
      <c r="B7" t="s">
        <v>47</v>
      </c>
      <c r="C7" s="3">
        <v>233.7</v>
      </c>
      <c r="D7" s="3">
        <f t="shared" si="0"/>
        <v>257.07</v>
      </c>
      <c r="E7" s="3">
        <f t="shared" si="1"/>
        <v>3.9690761919966304</v>
      </c>
      <c r="F7" s="1">
        <f t="shared" si="2"/>
        <v>3.9690761919966303E-2</v>
      </c>
      <c r="G7" s="3">
        <f t="shared" si="3"/>
        <v>1424.0663819400829</v>
      </c>
    </row>
    <row r="8" spans="1:8" x14ac:dyDescent="0.3">
      <c r="A8" t="s">
        <v>42</v>
      </c>
      <c r="B8" t="s">
        <v>48</v>
      </c>
      <c r="C8" s="3">
        <v>208</v>
      </c>
      <c r="D8" s="3">
        <f t="shared" si="0"/>
        <v>228.8</v>
      </c>
      <c r="E8" s="3">
        <f t="shared" si="1"/>
        <v>3.5325966963427433</v>
      </c>
      <c r="F8" s="1">
        <f t="shared" si="2"/>
        <v>3.5325966963427435E-2</v>
      </c>
      <c r="G8" s="3">
        <f t="shared" si="3"/>
        <v>1267.4617348889058</v>
      </c>
    </row>
    <row r="9" spans="1:8" x14ac:dyDescent="0.3">
      <c r="A9" t="s">
        <v>42</v>
      </c>
      <c r="B9" t="s">
        <v>49</v>
      </c>
      <c r="C9" s="3">
        <v>92</v>
      </c>
      <c r="D9" s="3">
        <f t="shared" si="0"/>
        <v>101.2</v>
      </c>
      <c r="E9" s="3">
        <f t="shared" si="1"/>
        <v>1.5624946926131364</v>
      </c>
      <c r="F9" s="1">
        <f t="shared" si="2"/>
        <v>1.5624946926131365E-2</v>
      </c>
      <c r="G9" s="3">
        <f t="shared" si="3"/>
        <v>560.60807504701597</v>
      </c>
    </row>
    <row r="10" spans="1:8" x14ac:dyDescent="0.3">
      <c r="D10" s="3">
        <f>SUM(D2:D9)</f>
        <v>6476.8220000000001</v>
      </c>
      <c r="E10" s="3">
        <f t="shared" ref="E10:G10" si="4">SUM(E2:E9)</f>
        <v>100.00000000000003</v>
      </c>
      <c r="F10" s="3">
        <f t="shared" si="4"/>
        <v>1</v>
      </c>
      <c r="G10" s="3">
        <f t="shared" si="4"/>
        <v>35879.038674329691</v>
      </c>
    </row>
    <row r="22" spans="2:3" x14ac:dyDescent="0.3">
      <c r="B22" t="s">
        <v>98</v>
      </c>
      <c r="C22" s="3">
        <f>SUM(C2:C9)</f>
        <v>5888.0199999999995</v>
      </c>
    </row>
    <row r="24" spans="2:3" x14ac:dyDescent="0.3">
      <c r="B24" t="s">
        <v>97</v>
      </c>
      <c r="C24">
        <v>35879.038674329684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42CC-0D9F-4ED7-B086-A3145F98E6D8}">
  <dimension ref="A1:H24"/>
  <sheetViews>
    <sheetView topLeftCell="C1" workbookViewId="0">
      <selection activeCell="G2" sqref="G2:G11"/>
    </sheetView>
  </sheetViews>
  <sheetFormatPr defaultRowHeight="14.4" x14ac:dyDescent="0.3"/>
  <cols>
    <col min="1" max="1" width="8.44140625" bestFit="1" customWidth="1"/>
    <col min="2" max="2" width="13.109375" bestFit="1" customWidth="1"/>
    <col min="3" max="3" width="28.33203125" bestFit="1" customWidth="1"/>
    <col min="4" max="4" width="26.77734375" bestFit="1" customWidth="1"/>
    <col min="5" max="5" width="23.109375" bestFit="1" customWidth="1"/>
    <col min="6" max="6" width="6.5546875" bestFit="1" customWidth="1"/>
    <col min="7" max="7" width="12.6640625" bestFit="1" customWidth="1"/>
    <col min="8" max="8" width="12.44140625" bestFit="1" customWidth="1"/>
  </cols>
  <sheetData>
    <row r="1" spans="1:8" x14ac:dyDescent="0.3">
      <c r="A1" t="s">
        <v>0</v>
      </c>
      <c r="B1" t="s">
        <v>1</v>
      </c>
      <c r="C1" t="s">
        <v>99</v>
      </c>
      <c r="D1" t="s">
        <v>100</v>
      </c>
      <c r="E1" t="s">
        <v>105</v>
      </c>
      <c r="G1" t="s">
        <v>108</v>
      </c>
    </row>
    <row r="2" spans="1:8" x14ac:dyDescent="0.3">
      <c r="A2" t="s">
        <v>50</v>
      </c>
      <c r="B2" t="s">
        <v>50</v>
      </c>
      <c r="C2" s="3">
        <v>1166</v>
      </c>
      <c r="D2" s="3">
        <f>1.1*C2</f>
        <v>1282.6000000000001</v>
      </c>
      <c r="E2" s="3">
        <f>(100/$C$22)*C2</f>
        <v>16.38952532223831</v>
      </c>
      <c r="F2" s="1">
        <f>E2/100</f>
        <v>0.1638952532223831</v>
      </c>
      <c r="G2" s="3">
        <f>F2*$C$24</f>
        <v>7105.0979946176167</v>
      </c>
      <c r="H2" s="2"/>
    </row>
    <row r="3" spans="1:8" x14ac:dyDescent="0.3">
      <c r="A3" t="s">
        <v>50</v>
      </c>
      <c r="B3" t="s">
        <v>51</v>
      </c>
      <c r="C3" s="3">
        <v>191</v>
      </c>
      <c r="D3" s="3">
        <f t="shared" ref="D3:D11" si="0">1.1*C3</f>
        <v>210.10000000000002</v>
      </c>
      <c r="E3" s="3">
        <f t="shared" ref="E3:E11" si="1">(100/$C$22)*C3</f>
        <v>2.6847335647920385</v>
      </c>
      <c r="F3" s="1">
        <f t="shared" ref="F3:F11" si="2">E3/100</f>
        <v>2.6847335647920384E-2</v>
      </c>
      <c r="G3" s="3">
        <f t="shared" ref="G3:G11" si="3">F3*$C$24</f>
        <v>1163.8711123258702</v>
      </c>
    </row>
    <row r="4" spans="1:8" x14ac:dyDescent="0.3">
      <c r="A4" t="s">
        <v>50</v>
      </c>
      <c r="B4" t="s">
        <v>52</v>
      </c>
      <c r="C4" s="3">
        <v>636</v>
      </c>
      <c r="D4" s="3">
        <f t="shared" si="0"/>
        <v>699.6</v>
      </c>
      <c r="E4" s="3">
        <f t="shared" si="1"/>
        <v>8.9397410848572587</v>
      </c>
      <c r="F4" s="1">
        <f t="shared" si="2"/>
        <v>8.9397410848572584E-2</v>
      </c>
      <c r="G4" s="3">
        <f t="shared" si="3"/>
        <v>3875.5079970641536</v>
      </c>
    </row>
    <row r="5" spans="1:8" x14ac:dyDescent="0.3">
      <c r="A5" t="s">
        <v>50</v>
      </c>
      <c r="B5" t="s">
        <v>53</v>
      </c>
      <c r="C5" s="3">
        <v>273.3</v>
      </c>
      <c r="D5" s="3">
        <f t="shared" si="0"/>
        <v>300.63000000000005</v>
      </c>
      <c r="E5" s="3">
        <f t="shared" si="1"/>
        <v>3.841558551087247</v>
      </c>
      <c r="F5" s="1">
        <f t="shared" si="2"/>
        <v>3.8415585510872471E-2</v>
      </c>
      <c r="G5" s="3">
        <f t="shared" si="3"/>
        <v>1665.3715968516249</v>
      </c>
    </row>
    <row r="6" spans="1:8" x14ac:dyDescent="0.3">
      <c r="A6" t="s">
        <v>50</v>
      </c>
      <c r="B6" t="s">
        <v>54</v>
      </c>
      <c r="C6" s="3">
        <v>3798</v>
      </c>
      <c r="D6" s="3">
        <f t="shared" si="0"/>
        <v>4177.8</v>
      </c>
      <c r="E6" s="3">
        <f t="shared" si="1"/>
        <v>53.385434969006084</v>
      </c>
      <c r="F6" s="1">
        <f t="shared" si="2"/>
        <v>0.53385434969006085</v>
      </c>
      <c r="G6" s="3">
        <f t="shared" si="3"/>
        <v>23143.363793788769</v>
      </c>
    </row>
    <row r="7" spans="1:8" x14ac:dyDescent="0.3">
      <c r="A7" t="s">
        <v>50</v>
      </c>
      <c r="B7" t="s">
        <v>55</v>
      </c>
      <c r="C7" s="3">
        <v>196</v>
      </c>
      <c r="D7" s="3">
        <f t="shared" si="0"/>
        <v>215.60000000000002</v>
      </c>
      <c r="E7" s="3">
        <f t="shared" si="1"/>
        <v>2.7550145481635577</v>
      </c>
      <c r="F7" s="1">
        <f t="shared" si="2"/>
        <v>2.7550145481635577E-2</v>
      </c>
      <c r="G7" s="3">
        <f t="shared" si="3"/>
        <v>1194.3389424914687</v>
      </c>
    </row>
    <row r="8" spans="1:8" x14ac:dyDescent="0.3">
      <c r="A8" t="s">
        <v>50</v>
      </c>
      <c r="B8" t="s">
        <v>56</v>
      </c>
      <c r="C8" s="3">
        <v>331</v>
      </c>
      <c r="D8" s="3">
        <f t="shared" si="0"/>
        <v>364.1</v>
      </c>
      <c r="E8" s="3">
        <f t="shared" si="1"/>
        <v>4.6526010991945794</v>
      </c>
      <c r="F8" s="1">
        <f t="shared" si="2"/>
        <v>4.6526010991945796E-2</v>
      </c>
      <c r="G8" s="3">
        <f t="shared" si="3"/>
        <v>2016.9703569626336</v>
      </c>
    </row>
    <row r="9" spans="1:8" x14ac:dyDescent="0.3">
      <c r="A9" t="s">
        <v>50</v>
      </c>
      <c r="B9" t="s">
        <v>57</v>
      </c>
      <c r="C9" s="3">
        <v>232</v>
      </c>
      <c r="D9" s="3">
        <f t="shared" si="0"/>
        <v>255.20000000000002</v>
      </c>
      <c r="E9" s="3">
        <f t="shared" si="1"/>
        <v>3.2610376284384968</v>
      </c>
      <c r="F9" s="1">
        <f t="shared" si="2"/>
        <v>3.261037628438497E-2</v>
      </c>
      <c r="G9" s="3">
        <f t="shared" si="3"/>
        <v>1413.7073196837796</v>
      </c>
    </row>
    <row r="10" spans="1:8" x14ac:dyDescent="0.3">
      <c r="A10" t="s">
        <v>50</v>
      </c>
      <c r="B10" t="s">
        <v>58</v>
      </c>
      <c r="C10" s="3">
        <v>266</v>
      </c>
      <c r="D10" s="3">
        <f t="shared" si="0"/>
        <v>292.60000000000002</v>
      </c>
      <c r="E10" s="3">
        <f t="shared" si="1"/>
        <v>3.7389483153648282</v>
      </c>
      <c r="F10" s="1">
        <f t="shared" si="2"/>
        <v>3.7389483153648283E-2</v>
      </c>
      <c r="G10" s="3">
        <f t="shared" si="3"/>
        <v>1620.8885648098505</v>
      </c>
    </row>
    <row r="11" spans="1:8" x14ac:dyDescent="0.3">
      <c r="A11" t="s">
        <v>50</v>
      </c>
      <c r="B11" t="s">
        <v>59</v>
      </c>
      <c r="C11" s="3">
        <v>25</v>
      </c>
      <c r="D11" s="3">
        <f t="shared" si="0"/>
        <v>27.500000000000004</v>
      </c>
      <c r="E11" s="3">
        <f t="shared" si="1"/>
        <v>0.35140491685759667</v>
      </c>
      <c r="F11" s="1">
        <f t="shared" si="2"/>
        <v>3.5140491685759665E-3</v>
      </c>
      <c r="G11" s="3">
        <f t="shared" si="3"/>
        <v>152.33915082799348</v>
      </c>
    </row>
    <row r="12" spans="1:8" x14ac:dyDescent="0.3">
      <c r="D12" s="3">
        <f>SUM(D2:D11)</f>
        <v>7825.7300000000014</v>
      </c>
      <c r="E12" s="3">
        <f t="shared" ref="E12:G12" si="4">SUM(E2:E11)</f>
        <v>100</v>
      </c>
      <c r="F12" s="3">
        <f t="shared" si="4"/>
        <v>1</v>
      </c>
      <c r="G12" s="3">
        <f t="shared" si="4"/>
        <v>43351.456829423769</v>
      </c>
    </row>
    <row r="22" spans="2:3" x14ac:dyDescent="0.3">
      <c r="B22" t="s">
        <v>98</v>
      </c>
      <c r="C22">
        <f>SUM(C2:C11)</f>
        <v>7114.3</v>
      </c>
    </row>
    <row r="24" spans="2:3" x14ac:dyDescent="0.3">
      <c r="B24" t="s">
        <v>97</v>
      </c>
      <c r="C24">
        <v>43351.456829423762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12EA9-8C61-4370-99C4-5C4F32419969}">
  <dimension ref="A1:H24"/>
  <sheetViews>
    <sheetView topLeftCell="C1" workbookViewId="0">
      <selection activeCell="G2" sqref="G2:G12"/>
    </sheetView>
  </sheetViews>
  <sheetFormatPr defaultRowHeight="14.4" x14ac:dyDescent="0.3"/>
  <cols>
    <col min="1" max="1" width="9.88671875" bestFit="1" customWidth="1"/>
    <col min="2" max="2" width="10.88671875" bestFit="1" customWidth="1"/>
    <col min="3" max="3" width="28.33203125" bestFit="1" customWidth="1"/>
    <col min="4" max="4" width="26.77734375" bestFit="1" customWidth="1"/>
    <col min="5" max="5" width="23.109375" bestFit="1" customWidth="1"/>
    <col min="6" max="6" width="6.5546875" bestFit="1" customWidth="1"/>
    <col min="7" max="7" width="12.6640625" bestFit="1" customWidth="1"/>
    <col min="8" max="8" width="12.44140625" bestFit="1" customWidth="1"/>
  </cols>
  <sheetData>
    <row r="1" spans="1:8" x14ac:dyDescent="0.3">
      <c r="A1" t="s">
        <v>0</v>
      </c>
      <c r="B1" t="s">
        <v>1</v>
      </c>
      <c r="C1" t="s">
        <v>99</v>
      </c>
      <c r="D1" t="s">
        <v>100</v>
      </c>
      <c r="E1" t="s">
        <v>105</v>
      </c>
      <c r="G1" t="s">
        <v>108</v>
      </c>
    </row>
    <row r="2" spans="1:8" x14ac:dyDescent="0.3">
      <c r="A2" t="s">
        <v>60</v>
      </c>
      <c r="B2" t="s">
        <v>61</v>
      </c>
      <c r="C2" s="3">
        <v>311</v>
      </c>
      <c r="D2" s="3">
        <f>1.1*C2</f>
        <v>342.1</v>
      </c>
      <c r="E2" s="3">
        <f>(100/$C$22)*C2</f>
        <v>12.793826053330919</v>
      </c>
      <c r="F2" s="1">
        <f>E2/100</f>
        <v>0.1279382605333092</v>
      </c>
      <c r="G2" s="3">
        <f>F2*$C$24</f>
        <v>1895.099036300239</v>
      </c>
      <c r="H2" s="2"/>
    </row>
    <row r="3" spans="1:8" x14ac:dyDescent="0.3">
      <c r="A3" t="s">
        <v>60</v>
      </c>
      <c r="B3" t="s">
        <v>62</v>
      </c>
      <c r="C3" s="3">
        <v>560</v>
      </c>
      <c r="D3" s="3">
        <f t="shared" ref="D3:D12" si="0">1.1*C3</f>
        <v>616</v>
      </c>
      <c r="E3" s="3">
        <f t="shared" ref="E3:E12" si="1">(100/$C$22)*C3</f>
        <v>23.037114436865966</v>
      </c>
      <c r="F3" s="1">
        <f t="shared" ref="F3:F12" si="2">E3/100</f>
        <v>0.23037114436865966</v>
      </c>
      <c r="G3" s="3">
        <f t="shared" ref="G3:G12" si="3">F3*$C$24</f>
        <v>3412.3969785470545</v>
      </c>
    </row>
    <row r="4" spans="1:8" x14ac:dyDescent="0.3">
      <c r="A4" t="s">
        <v>60</v>
      </c>
      <c r="B4" t="s">
        <v>63</v>
      </c>
      <c r="C4" s="3">
        <v>801</v>
      </c>
      <c r="D4" s="3">
        <f t="shared" si="0"/>
        <v>881.1</v>
      </c>
      <c r="E4" s="3">
        <f t="shared" si="1"/>
        <v>32.95130118558864</v>
      </c>
      <c r="F4" s="1">
        <f t="shared" si="2"/>
        <v>0.32951301185588638</v>
      </c>
      <c r="G4" s="3">
        <f t="shared" si="3"/>
        <v>4880.9463925289119</v>
      </c>
    </row>
    <row r="5" spans="1:8" x14ac:dyDescent="0.3">
      <c r="A5" t="s">
        <v>60</v>
      </c>
      <c r="B5" t="s">
        <v>64</v>
      </c>
      <c r="C5" s="3">
        <v>42</v>
      </c>
      <c r="D5" s="3">
        <f t="shared" si="0"/>
        <v>46.2</v>
      </c>
      <c r="E5" s="3">
        <f t="shared" si="1"/>
        <v>1.7277835827649473</v>
      </c>
      <c r="F5" s="1">
        <f t="shared" si="2"/>
        <v>1.7277835827649472E-2</v>
      </c>
      <c r="G5" s="3">
        <f t="shared" si="3"/>
        <v>255.92977339102904</v>
      </c>
    </row>
    <row r="6" spans="1:8" x14ac:dyDescent="0.3">
      <c r="A6" t="s">
        <v>60</v>
      </c>
      <c r="B6" t="s">
        <v>65</v>
      </c>
      <c r="C6" s="3"/>
      <c r="D6" s="3">
        <f t="shared" si="0"/>
        <v>0</v>
      </c>
      <c r="E6" s="3">
        <f t="shared" si="1"/>
        <v>0</v>
      </c>
      <c r="F6" s="1">
        <f t="shared" si="2"/>
        <v>0</v>
      </c>
      <c r="G6" s="3">
        <f t="shared" si="3"/>
        <v>0</v>
      </c>
    </row>
    <row r="7" spans="1:8" x14ac:dyDescent="0.3">
      <c r="A7" t="s">
        <v>60</v>
      </c>
      <c r="B7" t="s">
        <v>66</v>
      </c>
      <c r="C7" s="3">
        <v>432</v>
      </c>
      <c r="D7" s="3">
        <f t="shared" si="0"/>
        <v>475.20000000000005</v>
      </c>
      <c r="E7" s="3">
        <f t="shared" si="1"/>
        <v>17.771488279868031</v>
      </c>
      <c r="F7" s="1">
        <f t="shared" si="2"/>
        <v>0.17771488279868031</v>
      </c>
      <c r="G7" s="3">
        <f t="shared" si="3"/>
        <v>2632.4205263077279</v>
      </c>
    </row>
    <row r="8" spans="1:8" x14ac:dyDescent="0.3">
      <c r="A8" t="s">
        <v>60</v>
      </c>
      <c r="B8" t="s">
        <v>67</v>
      </c>
      <c r="C8" s="3">
        <v>105</v>
      </c>
      <c r="D8" s="3">
        <f t="shared" si="0"/>
        <v>115.50000000000001</v>
      </c>
      <c r="E8" s="3">
        <f t="shared" si="1"/>
        <v>4.319458956912368</v>
      </c>
      <c r="F8" s="1">
        <f t="shared" si="2"/>
        <v>4.3194589569123677E-2</v>
      </c>
      <c r="G8" s="3">
        <f t="shared" si="3"/>
        <v>639.8244334775726</v>
      </c>
    </row>
    <row r="9" spans="1:8" x14ac:dyDescent="0.3">
      <c r="A9" t="s">
        <v>60</v>
      </c>
      <c r="B9" t="s">
        <v>68</v>
      </c>
      <c r="C9" s="3">
        <v>130</v>
      </c>
      <c r="D9" s="3">
        <f t="shared" si="0"/>
        <v>143</v>
      </c>
      <c r="E9" s="3">
        <f t="shared" si="1"/>
        <v>5.3479015657010276</v>
      </c>
      <c r="F9" s="1">
        <f t="shared" si="2"/>
        <v>5.3479015657010277E-2</v>
      </c>
      <c r="G9" s="3">
        <f t="shared" si="3"/>
        <v>792.16358430556625</v>
      </c>
    </row>
    <row r="10" spans="1:8" x14ac:dyDescent="0.3">
      <c r="A10" t="s">
        <v>60</v>
      </c>
      <c r="B10" t="s">
        <v>69</v>
      </c>
      <c r="C10" s="3">
        <v>9</v>
      </c>
      <c r="D10" s="3">
        <f t="shared" si="0"/>
        <v>9.9</v>
      </c>
      <c r="E10" s="3">
        <f t="shared" si="1"/>
        <v>0.37023933916391727</v>
      </c>
      <c r="F10" s="1">
        <f t="shared" si="2"/>
        <v>3.7023933916391725E-3</v>
      </c>
      <c r="G10" s="3">
        <f t="shared" si="3"/>
        <v>54.842094298077654</v>
      </c>
    </row>
    <row r="11" spans="1:8" x14ac:dyDescent="0.3">
      <c r="A11" t="s">
        <v>60</v>
      </c>
      <c r="B11" t="s">
        <v>70</v>
      </c>
      <c r="C11" s="3">
        <v>0.86</v>
      </c>
      <c r="D11" s="3">
        <f t="shared" si="0"/>
        <v>0.94600000000000006</v>
      </c>
      <c r="E11" s="3">
        <f t="shared" si="1"/>
        <v>3.5378425742329876E-2</v>
      </c>
      <c r="F11" s="1">
        <f t="shared" si="2"/>
        <v>3.5378425742329877E-4</v>
      </c>
      <c r="G11" s="3">
        <f t="shared" si="3"/>
        <v>5.2404667884829763</v>
      </c>
    </row>
    <row r="12" spans="1:8" x14ac:dyDescent="0.3">
      <c r="A12" t="s">
        <v>60</v>
      </c>
      <c r="B12" t="s">
        <v>71</v>
      </c>
      <c r="C12" s="3">
        <v>40</v>
      </c>
      <c r="D12" s="3">
        <f t="shared" si="0"/>
        <v>44</v>
      </c>
      <c r="E12" s="3">
        <f t="shared" si="1"/>
        <v>1.6455081740618547</v>
      </c>
      <c r="F12" s="1">
        <f t="shared" si="2"/>
        <v>1.6455081740618546E-2</v>
      </c>
      <c r="G12" s="3">
        <f t="shared" si="3"/>
        <v>243.74264132478959</v>
      </c>
    </row>
    <row r="13" spans="1:8" x14ac:dyDescent="0.3">
      <c r="D13" s="3">
        <f>SUM(D2:D12)</f>
        <v>2673.9460000000004</v>
      </c>
      <c r="E13" s="3">
        <f t="shared" ref="E13:G13" si="4">SUM(E2:E12)</f>
        <v>99.999999999999986</v>
      </c>
      <c r="F13" s="3">
        <f t="shared" si="4"/>
        <v>1</v>
      </c>
      <c r="G13" s="3">
        <f t="shared" si="4"/>
        <v>14812.605927269451</v>
      </c>
    </row>
    <row r="22" spans="2:3" x14ac:dyDescent="0.3">
      <c r="B22" t="s">
        <v>98</v>
      </c>
      <c r="C22">
        <f>SUM(C2:C12)</f>
        <v>2430.86</v>
      </c>
    </row>
    <row r="24" spans="2:3" x14ac:dyDescent="0.3">
      <c r="B24" t="s">
        <v>97</v>
      </c>
      <c r="C24">
        <v>14812.605927269451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5475-63CC-4C36-A3E9-30682173C821}">
  <dimension ref="A1:H24"/>
  <sheetViews>
    <sheetView tabSelected="1" topLeftCell="C1" workbookViewId="0">
      <selection activeCell="H13" sqref="H13"/>
    </sheetView>
  </sheetViews>
  <sheetFormatPr defaultRowHeight="14.4" x14ac:dyDescent="0.3"/>
  <cols>
    <col min="1" max="1" width="10.21875" bestFit="1" customWidth="1"/>
    <col min="2" max="2" width="13.21875" bestFit="1" customWidth="1"/>
    <col min="3" max="3" width="28.33203125" bestFit="1" customWidth="1"/>
    <col min="4" max="4" width="26.77734375" bestFit="1" customWidth="1"/>
    <col min="5" max="5" width="23.109375" bestFit="1" customWidth="1"/>
    <col min="6" max="6" width="6.5546875" bestFit="1" customWidth="1"/>
    <col min="7" max="7" width="12.6640625" bestFit="1" customWidth="1"/>
    <col min="8" max="8" width="12.44140625" bestFit="1" customWidth="1"/>
  </cols>
  <sheetData>
    <row r="1" spans="1:8" x14ac:dyDescent="0.3">
      <c r="A1" t="s">
        <v>0</v>
      </c>
      <c r="B1" t="s">
        <v>1</v>
      </c>
      <c r="C1" t="s">
        <v>99</v>
      </c>
      <c r="D1" t="s">
        <v>100</v>
      </c>
      <c r="E1" t="s">
        <v>106</v>
      </c>
      <c r="G1" t="s">
        <v>108</v>
      </c>
    </row>
    <row r="2" spans="1:8" x14ac:dyDescent="0.3">
      <c r="A2" t="s">
        <v>72</v>
      </c>
      <c r="B2" t="s">
        <v>72</v>
      </c>
      <c r="C2" s="3">
        <f>115+234.7</f>
        <v>349.7</v>
      </c>
      <c r="D2" s="3">
        <f>1.1*C2</f>
        <v>384.67</v>
      </c>
      <c r="E2" s="3">
        <f>(100/$C$22)*C2</f>
        <v>4.3135029788703729</v>
      </c>
      <c r="F2" s="1">
        <f>E2/100</f>
        <v>4.3135029788703733E-2</v>
      </c>
      <c r="G2" s="3">
        <f>F2*$C$24</f>
        <v>2130.9200417819734</v>
      </c>
      <c r="H2" s="2"/>
    </row>
    <row r="3" spans="1:8" x14ac:dyDescent="0.3">
      <c r="A3" t="s">
        <v>72</v>
      </c>
      <c r="B3" t="s">
        <v>73</v>
      </c>
      <c r="C3" s="3">
        <v>151.6</v>
      </c>
      <c r="D3" s="3">
        <f t="shared" ref="D3:D14" si="0">1.1*C3</f>
        <v>166.76000000000002</v>
      </c>
      <c r="E3" s="3">
        <f t="shared" ref="E3:E14" si="1">(100/$C$22)*C3</f>
        <v>1.8699658324184971</v>
      </c>
      <c r="F3" s="1">
        <f t="shared" ref="F3:F15" si="2">E3/100</f>
        <v>1.8699658324184971E-2</v>
      </c>
      <c r="G3" s="3">
        <f t="shared" ref="G3:G15" si="3">F3*$C$24</f>
        <v>923.78461062095255</v>
      </c>
    </row>
    <row r="4" spans="1:8" x14ac:dyDescent="0.3">
      <c r="A4" t="s">
        <v>72</v>
      </c>
      <c r="B4" t="s">
        <v>74</v>
      </c>
      <c r="C4" s="3">
        <v>98</v>
      </c>
      <c r="D4" s="3">
        <f t="shared" si="0"/>
        <v>107.80000000000001</v>
      </c>
      <c r="E4" s="3">
        <f t="shared" si="1"/>
        <v>1.208816962909055</v>
      </c>
      <c r="F4" s="1">
        <f t="shared" si="2"/>
        <v>1.208816962909055E-2</v>
      </c>
      <c r="G4" s="3">
        <f t="shared" si="3"/>
        <v>597.16947124573448</v>
      </c>
    </row>
    <row r="5" spans="1:8" x14ac:dyDescent="0.3">
      <c r="A5" t="s">
        <v>72</v>
      </c>
      <c r="B5" t="s">
        <v>75</v>
      </c>
      <c r="C5" s="3">
        <v>41.1</v>
      </c>
      <c r="D5" s="3">
        <f t="shared" si="0"/>
        <v>45.210000000000008</v>
      </c>
      <c r="E5" s="3">
        <f t="shared" si="1"/>
        <v>0.50696303240369556</v>
      </c>
      <c r="F5" s="1">
        <f t="shared" si="2"/>
        <v>5.0696303240369556E-3</v>
      </c>
      <c r="G5" s="3">
        <f t="shared" si="3"/>
        <v>250.44556396122132</v>
      </c>
    </row>
    <row r="6" spans="1:8" x14ac:dyDescent="0.3">
      <c r="A6" t="s">
        <v>72</v>
      </c>
      <c r="B6" t="s">
        <v>76</v>
      </c>
      <c r="C6" s="3">
        <v>100</v>
      </c>
      <c r="D6" s="3">
        <f t="shared" si="0"/>
        <v>110.00000000000001</v>
      </c>
      <c r="E6" s="3">
        <f t="shared" si="1"/>
        <v>1.2334866968459746</v>
      </c>
      <c r="F6" s="1">
        <f t="shared" si="2"/>
        <v>1.2334866968459746E-2</v>
      </c>
      <c r="G6" s="3">
        <f t="shared" si="3"/>
        <v>609.35660331197403</v>
      </c>
    </row>
    <row r="7" spans="1:8" x14ac:dyDescent="0.3">
      <c r="A7" t="s">
        <v>72</v>
      </c>
      <c r="B7" t="s">
        <v>77</v>
      </c>
      <c r="C7" s="3">
        <v>566.79999999999995</v>
      </c>
      <c r="D7" s="3">
        <f t="shared" si="0"/>
        <v>623.48</v>
      </c>
      <c r="E7" s="3">
        <f t="shared" si="1"/>
        <v>6.991402597722983</v>
      </c>
      <c r="F7" s="1">
        <f t="shared" si="2"/>
        <v>6.9914025977229829E-2</v>
      </c>
      <c r="G7" s="3">
        <f t="shared" si="3"/>
        <v>3453.8332275722682</v>
      </c>
    </row>
    <row r="8" spans="1:8" x14ac:dyDescent="0.3">
      <c r="A8" t="s">
        <v>72</v>
      </c>
      <c r="B8" t="s">
        <v>78</v>
      </c>
      <c r="C8" s="3">
        <v>383.3</v>
      </c>
      <c r="D8" s="3">
        <f t="shared" si="0"/>
        <v>421.63000000000005</v>
      </c>
      <c r="E8" s="3">
        <f t="shared" si="1"/>
        <v>4.7279545090106199</v>
      </c>
      <c r="F8" s="1">
        <f t="shared" si="2"/>
        <v>4.7279545090106199E-2</v>
      </c>
      <c r="G8" s="3">
        <f t="shared" si="3"/>
        <v>2335.6638604947962</v>
      </c>
    </row>
    <row r="9" spans="1:8" x14ac:dyDescent="0.3">
      <c r="A9" t="s">
        <v>72</v>
      </c>
      <c r="B9" t="s">
        <v>79</v>
      </c>
      <c r="C9" s="3">
        <v>250</v>
      </c>
      <c r="D9" s="3">
        <f t="shared" si="0"/>
        <v>275</v>
      </c>
      <c r="E9" s="3">
        <f t="shared" si="1"/>
        <v>3.0837167421149361</v>
      </c>
      <c r="F9" s="1">
        <f t="shared" si="2"/>
        <v>3.0837167421149361E-2</v>
      </c>
      <c r="G9" s="3">
        <f t="shared" si="3"/>
        <v>1523.3915082799349</v>
      </c>
    </row>
    <row r="10" spans="1:8" x14ac:dyDescent="0.3">
      <c r="A10" t="s">
        <v>72</v>
      </c>
      <c r="B10" t="s">
        <v>80</v>
      </c>
      <c r="C10" s="3">
        <v>36</v>
      </c>
      <c r="D10" s="3">
        <f t="shared" si="0"/>
        <v>39.6</v>
      </c>
      <c r="E10" s="3">
        <f t="shared" si="1"/>
        <v>0.4440552108645508</v>
      </c>
      <c r="F10" s="1">
        <f t="shared" si="2"/>
        <v>4.4405521086455079E-3</v>
      </c>
      <c r="G10" s="3">
        <f t="shared" si="3"/>
        <v>219.36837719231062</v>
      </c>
    </row>
    <row r="11" spans="1:8" x14ac:dyDescent="0.3">
      <c r="A11" t="s">
        <v>72</v>
      </c>
      <c r="B11" t="s">
        <v>81</v>
      </c>
      <c r="C11" s="3"/>
      <c r="D11" s="3">
        <f t="shared" si="0"/>
        <v>0</v>
      </c>
      <c r="E11" s="3">
        <f t="shared" si="1"/>
        <v>0</v>
      </c>
      <c r="F11" s="1">
        <f t="shared" si="2"/>
        <v>0</v>
      </c>
      <c r="G11" s="3">
        <f t="shared" si="3"/>
        <v>0</v>
      </c>
    </row>
    <row r="12" spans="1:8" x14ac:dyDescent="0.3">
      <c r="A12" t="s">
        <v>72</v>
      </c>
      <c r="B12" t="s">
        <v>82</v>
      </c>
      <c r="C12" s="3">
        <v>6130.6</v>
      </c>
      <c r="D12" s="3">
        <f t="shared" si="0"/>
        <v>6743.6600000000008</v>
      </c>
      <c r="E12" s="3">
        <f t="shared" si="1"/>
        <v>75.62013543683932</v>
      </c>
      <c r="F12" s="1">
        <f t="shared" si="2"/>
        <v>0.7562013543683932</v>
      </c>
      <c r="G12" s="3">
        <f t="shared" si="3"/>
        <v>37357.215922643882</v>
      </c>
    </row>
    <row r="13" spans="1:8" x14ac:dyDescent="0.3">
      <c r="A13" t="s">
        <v>72</v>
      </c>
      <c r="B13" t="s">
        <v>83</v>
      </c>
      <c r="C13" s="3"/>
      <c r="D13" s="3">
        <f t="shared" si="0"/>
        <v>0</v>
      </c>
      <c r="E13" s="3">
        <f t="shared" si="1"/>
        <v>0</v>
      </c>
      <c r="F13" s="1">
        <f t="shared" si="2"/>
        <v>0</v>
      </c>
      <c r="G13" s="3">
        <f t="shared" si="3"/>
        <v>0</v>
      </c>
    </row>
    <row r="14" spans="1:8" x14ac:dyDescent="0.3">
      <c r="A14" t="s">
        <v>72</v>
      </c>
      <c r="B14" t="s">
        <v>85</v>
      </c>
      <c r="C14" s="3"/>
      <c r="D14" s="3">
        <f t="shared" si="0"/>
        <v>0</v>
      </c>
      <c r="E14" s="3">
        <f t="shared" si="1"/>
        <v>0</v>
      </c>
      <c r="F14" s="1">
        <f t="shared" si="2"/>
        <v>0</v>
      </c>
      <c r="G14" s="3">
        <f t="shared" si="3"/>
        <v>0</v>
      </c>
    </row>
    <row r="15" spans="1:8" x14ac:dyDescent="0.3">
      <c r="E15" s="3">
        <f>SUM(E2:E14)</f>
        <v>100</v>
      </c>
      <c r="F15" s="1">
        <f t="shared" si="2"/>
        <v>1</v>
      </c>
      <c r="G15" s="3">
        <f t="shared" si="3"/>
        <v>49401.149187105046</v>
      </c>
    </row>
    <row r="22" spans="2:3" x14ac:dyDescent="0.3">
      <c r="B22" t="s">
        <v>98</v>
      </c>
      <c r="C22" s="3">
        <f>SUM(C2:C14)</f>
        <v>8107.1</v>
      </c>
    </row>
    <row r="24" spans="2:3" x14ac:dyDescent="0.3">
      <c r="B24" t="s">
        <v>107</v>
      </c>
      <c r="C24">
        <v>49401.149187105046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965D-74F8-499A-ACDA-FFA3574FA6B6}">
  <dimension ref="A1:G24"/>
  <sheetViews>
    <sheetView workbookViewId="0">
      <selection activeCell="I17" sqref="I17"/>
    </sheetView>
  </sheetViews>
  <sheetFormatPr defaultRowHeight="14.4" x14ac:dyDescent="0.3"/>
  <cols>
    <col min="1" max="1" width="8.44140625" bestFit="1" customWidth="1"/>
    <col min="2" max="2" width="10.77734375" bestFit="1" customWidth="1"/>
    <col min="3" max="3" width="28.33203125" bestFit="1" customWidth="1"/>
    <col min="4" max="4" width="30.88671875" bestFit="1" customWidth="1"/>
    <col min="5" max="5" width="23.109375" bestFit="1" customWidth="1"/>
    <col min="6" max="6" width="6.5546875" bestFit="1" customWidth="1"/>
    <col min="7" max="7" width="12.6640625" bestFit="1" customWidth="1"/>
    <col min="8" max="8" width="12.44140625" bestFit="1" customWidth="1"/>
  </cols>
  <sheetData>
    <row r="1" spans="1:7" x14ac:dyDescent="0.3">
      <c r="A1" t="s">
        <v>0</v>
      </c>
      <c r="B1" t="s">
        <v>1</v>
      </c>
      <c r="C1" t="s">
        <v>99</v>
      </c>
      <c r="D1" t="s">
        <v>100</v>
      </c>
      <c r="E1" t="s">
        <v>105</v>
      </c>
      <c r="G1" t="s">
        <v>108</v>
      </c>
    </row>
    <row r="2" spans="1:7" x14ac:dyDescent="0.3">
      <c r="A2" t="s">
        <v>86</v>
      </c>
      <c r="B2" t="s">
        <v>86</v>
      </c>
      <c r="C2" s="3">
        <v>133.5</v>
      </c>
      <c r="D2" s="3">
        <f>1.1*C2</f>
        <v>146.85000000000002</v>
      </c>
      <c r="E2" s="3">
        <f>(100/$C$22)*C2</f>
        <v>5.5988928032209362</v>
      </c>
      <c r="F2" s="1">
        <f>E2/100</f>
        <v>5.598892803220936E-2</v>
      </c>
      <c r="G2" s="3">
        <f>F2*$C$24</f>
        <v>813.49106542148525</v>
      </c>
    </row>
    <row r="3" spans="1:7" x14ac:dyDescent="0.3">
      <c r="A3" t="s">
        <v>86</v>
      </c>
      <c r="B3" t="s">
        <v>87</v>
      </c>
      <c r="C3" s="3">
        <v>1600</v>
      </c>
      <c r="D3" s="3">
        <f t="shared" ref="D3:D7" si="0">1.1*C3</f>
        <v>1760.0000000000002</v>
      </c>
      <c r="E3" s="3">
        <f t="shared" ref="E3:E7" si="1">(100/$C$22)*C3</f>
        <v>67.102835094782748</v>
      </c>
      <c r="F3" s="1">
        <f t="shared" ref="F3:F7" si="2">E3/100</f>
        <v>0.67102835094782742</v>
      </c>
      <c r="G3" s="3">
        <f t="shared" ref="G3:G7" si="3">F3*$C$24</f>
        <v>9749.7056529915826</v>
      </c>
    </row>
    <row r="4" spans="1:7" x14ac:dyDescent="0.3">
      <c r="A4" t="s">
        <v>86</v>
      </c>
      <c r="B4" t="s">
        <v>88</v>
      </c>
      <c r="C4" s="3">
        <v>372.9</v>
      </c>
      <c r="D4" s="3">
        <f t="shared" si="0"/>
        <v>410.19</v>
      </c>
      <c r="E4" s="3">
        <f t="shared" si="1"/>
        <v>15.639154504277805</v>
      </c>
      <c r="F4" s="1">
        <f t="shared" si="2"/>
        <v>0.15639154504277805</v>
      </c>
      <c r="G4" s="3">
        <f t="shared" si="3"/>
        <v>2272.290773750351</v>
      </c>
    </row>
    <row r="5" spans="1:7" x14ac:dyDescent="0.3">
      <c r="A5" t="s">
        <v>86</v>
      </c>
      <c r="B5" t="s">
        <v>89</v>
      </c>
      <c r="C5" s="3">
        <v>3</v>
      </c>
      <c r="D5" s="3">
        <f t="shared" si="0"/>
        <v>3.3000000000000003</v>
      </c>
      <c r="E5" s="3">
        <f t="shared" si="1"/>
        <v>0.12581781580271767</v>
      </c>
      <c r="F5" s="1">
        <f t="shared" si="2"/>
        <v>1.2581781580271766E-3</v>
      </c>
      <c r="G5" s="3">
        <f t="shared" si="3"/>
        <v>18.280698099359221</v>
      </c>
    </row>
    <row r="6" spans="1:7" x14ac:dyDescent="0.3">
      <c r="A6" t="s">
        <v>86</v>
      </c>
      <c r="B6" t="s">
        <v>90</v>
      </c>
      <c r="C6" s="3">
        <v>150</v>
      </c>
      <c r="D6" s="3">
        <f t="shared" si="0"/>
        <v>165</v>
      </c>
      <c r="E6" s="3">
        <f t="shared" si="1"/>
        <v>6.290890790135883</v>
      </c>
      <c r="F6" s="1">
        <f t="shared" si="2"/>
        <v>6.2908907901358835E-2</v>
      </c>
      <c r="G6" s="3">
        <f t="shared" si="3"/>
        <v>914.03490496796098</v>
      </c>
    </row>
    <row r="7" spans="1:7" x14ac:dyDescent="0.3">
      <c r="A7" t="s">
        <v>86</v>
      </c>
      <c r="B7" t="s">
        <v>91</v>
      </c>
      <c r="C7" s="3">
        <v>125</v>
      </c>
      <c r="D7" s="3">
        <f t="shared" si="0"/>
        <v>137.5</v>
      </c>
      <c r="E7" s="3">
        <f t="shared" si="1"/>
        <v>5.2424089917799028</v>
      </c>
      <c r="F7" s="1">
        <f t="shared" si="2"/>
        <v>5.2424089917799031E-2</v>
      </c>
      <c r="G7" s="3">
        <f t="shared" si="3"/>
        <v>761.69575413996756</v>
      </c>
    </row>
    <row r="8" spans="1:7" x14ac:dyDescent="0.3">
      <c r="D8" s="3">
        <f>SUM(D2:D7)</f>
        <v>2622.8400000000006</v>
      </c>
      <c r="E8" s="3">
        <f t="shared" ref="E8:G8" si="4">SUM(E2:E7)</f>
        <v>99.999999999999986</v>
      </c>
      <c r="F8" s="3">
        <f t="shared" si="4"/>
        <v>0.99999999999999989</v>
      </c>
      <c r="G8" s="3">
        <f t="shared" si="4"/>
        <v>14529.498849370706</v>
      </c>
    </row>
    <row r="22" spans="2:4" x14ac:dyDescent="0.3">
      <c r="B22" t="s">
        <v>98</v>
      </c>
      <c r="C22" s="3">
        <f>SUM(C2:C7)</f>
        <v>2384.4</v>
      </c>
      <c r="D22" s="3">
        <f>SUM(D2:D7)</f>
        <v>2622.8400000000006</v>
      </c>
    </row>
    <row r="24" spans="2:4" x14ac:dyDescent="0.3">
      <c r="B24" t="s">
        <v>97</v>
      </c>
      <c r="C24">
        <v>14529.498849370708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54A0-6CC6-41D3-9FC8-D948E39103AD}">
  <dimension ref="A1:E11"/>
  <sheetViews>
    <sheetView workbookViewId="0">
      <selection activeCell="E1" sqref="E1"/>
    </sheetView>
  </sheetViews>
  <sheetFormatPr defaultRowHeight="14.4" x14ac:dyDescent="0.3"/>
  <cols>
    <col min="1" max="1" width="43.33203125" bestFit="1" customWidth="1"/>
    <col min="2" max="2" width="23.6640625" bestFit="1" customWidth="1"/>
    <col min="3" max="3" width="14.33203125" bestFit="1" customWidth="1"/>
    <col min="4" max="4" width="5.5546875" bestFit="1" customWidth="1"/>
    <col min="5" max="5" width="39.5546875" bestFit="1" customWidth="1"/>
  </cols>
  <sheetData>
    <row r="1" spans="1:5" x14ac:dyDescent="0.3">
      <c r="B1" t="s">
        <v>104</v>
      </c>
      <c r="C1" t="s">
        <v>103</v>
      </c>
      <c r="E1" t="s">
        <v>101</v>
      </c>
    </row>
    <row r="2" spans="1:5" x14ac:dyDescent="0.3">
      <c r="A2" t="s">
        <v>5</v>
      </c>
      <c r="B2">
        <v>14174.314</v>
      </c>
      <c r="C2" s="2">
        <f>(100/$B$9)*B2</f>
        <v>28.198082946840088</v>
      </c>
      <c r="D2" s="2">
        <f>C2/100</f>
        <v>0.28198082946840086</v>
      </c>
      <c r="E2" s="3">
        <f>D2*$B$11</f>
        <v>78520.107575612332</v>
      </c>
    </row>
    <row r="3" spans="1:5" x14ac:dyDescent="0.3">
      <c r="A3" t="s">
        <v>25</v>
      </c>
      <c r="B3">
        <v>7575.4800000000005</v>
      </c>
      <c r="C3" s="2">
        <f t="shared" ref="C3:C8" si="0">(100/$B$9)*B3</f>
        <v>15.070501006406953</v>
      </c>
      <c r="D3" s="2">
        <f t="shared" ref="D3:D8" si="1">C3/100</f>
        <v>0.15070501006406953</v>
      </c>
      <c r="E3" s="3">
        <f t="shared" ref="E3:E8" si="2">D3*$B$11</f>
        <v>41965.170556889017</v>
      </c>
    </row>
    <row r="4" spans="1:5" x14ac:dyDescent="0.3">
      <c r="A4" t="s">
        <v>92</v>
      </c>
      <c r="B4">
        <v>6476.8220000000001</v>
      </c>
      <c r="C4" s="2">
        <f t="shared" si="0"/>
        <v>12.884853826994288</v>
      </c>
      <c r="D4" s="2">
        <f t="shared" si="1"/>
        <v>0.12884853826994289</v>
      </c>
      <c r="E4" s="3">
        <f t="shared" si="2"/>
        <v>35879.038674329684</v>
      </c>
    </row>
    <row r="5" spans="1:5" x14ac:dyDescent="0.3">
      <c r="A5" t="s">
        <v>93</v>
      </c>
      <c r="B5">
        <v>7825.7300000000005</v>
      </c>
      <c r="C5" s="2">
        <f t="shared" si="0"/>
        <v>15.568343107086163</v>
      </c>
      <c r="D5" s="2">
        <f t="shared" si="1"/>
        <v>0.15568343107086163</v>
      </c>
      <c r="E5" s="3">
        <f t="shared" si="2"/>
        <v>43351.456829423762</v>
      </c>
    </row>
    <row r="6" spans="1:5" x14ac:dyDescent="0.3">
      <c r="A6" t="s">
        <v>94</v>
      </c>
      <c r="B6">
        <v>2673.9460000000004</v>
      </c>
      <c r="C6" s="2">
        <f t="shared" si="0"/>
        <v>5.3194920828881935</v>
      </c>
      <c r="D6" s="2">
        <f t="shared" si="1"/>
        <v>5.3194920828881935E-2</v>
      </c>
      <c r="E6" s="3">
        <f t="shared" si="2"/>
        <v>14812.605927269451</v>
      </c>
    </row>
    <row r="7" spans="1:5" x14ac:dyDescent="0.3">
      <c r="A7" t="s">
        <v>95</v>
      </c>
      <c r="B7">
        <v>8917.8100000000013</v>
      </c>
      <c r="C7" s="2">
        <f t="shared" si="0"/>
        <v>17.740904151280976</v>
      </c>
      <c r="D7" s="2">
        <f t="shared" si="1"/>
        <v>0.17740904151280976</v>
      </c>
      <c r="E7" s="3">
        <f t="shared" si="2"/>
        <v>49401.149187105046</v>
      </c>
    </row>
    <row r="8" spans="1:5" x14ac:dyDescent="0.3">
      <c r="A8" t="s">
        <v>96</v>
      </c>
      <c r="B8">
        <v>2622.84</v>
      </c>
      <c r="C8" s="2">
        <f t="shared" si="0"/>
        <v>5.2178228785033314</v>
      </c>
      <c r="D8" s="2">
        <f t="shared" si="1"/>
        <v>5.2178228785033316E-2</v>
      </c>
      <c r="E8" s="3">
        <f t="shared" si="2"/>
        <v>14529.498849370708</v>
      </c>
    </row>
    <row r="9" spans="1:5" x14ac:dyDescent="0.3">
      <c r="B9">
        <f>SUM(B2:B8)</f>
        <v>50266.94200000001</v>
      </c>
      <c r="C9">
        <f>SUM(C2:C8)</f>
        <v>99.999999999999986</v>
      </c>
      <c r="D9">
        <f>SUM(D2:D8)</f>
        <v>1</v>
      </c>
      <c r="E9" s="3">
        <f>SUM(E2:E8)</f>
        <v>278459.02759999997</v>
      </c>
    </row>
    <row r="11" spans="1:5" x14ac:dyDescent="0.3">
      <c r="A11" t="s">
        <v>102</v>
      </c>
      <c r="B11">
        <f>11721.03+64960.15+201777.8476</f>
        <v>278459.02760000003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CFD9E3CF9E01419E2B7C6F0C354909" ma:contentTypeVersion="3" ma:contentTypeDescription="Crear nuevo documento." ma:contentTypeScope="" ma:versionID="a1f5b3c10d35b6fae5ad8d6448d000ad">
  <xsd:schema xmlns:xsd="http://www.w3.org/2001/XMLSchema" xmlns:xs="http://www.w3.org/2001/XMLSchema" xmlns:p="http://schemas.microsoft.com/office/2006/metadata/properties" xmlns:ns2="673a78b3-d36c-4e87-ad30-7b9bae48754a" targetNamespace="http://schemas.microsoft.com/office/2006/metadata/properties" ma:root="true" ma:fieldsID="d5ed690512077925d783ec386cfe06da" ns2:_="">
    <xsd:import namespace="673a78b3-d36c-4e87-ad30-7b9bae4875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3a78b3-d36c-4e87-ad30-7b9bae4875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757624-8723-4664-833D-E12AF05CB2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4E3E3D-2E50-443D-8A73-0AD3CF9579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3a78b3-d36c-4e87-ad30-7b9bae4875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49754C-BC9C-4D2A-AEF8-DA1940C93CF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</vt:lpstr>
      <vt:lpstr>San Jose</vt:lpstr>
      <vt:lpstr>Alajuela</vt:lpstr>
      <vt:lpstr>Cartago</vt:lpstr>
      <vt:lpstr>Heredia</vt:lpstr>
      <vt:lpstr>Guanacaste</vt:lpstr>
      <vt:lpstr>Puntarenas</vt:lpstr>
      <vt:lpstr>Limon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Teresita Yanancy Navarro Cerdas</dc:creator>
  <cp:keywords/>
  <dc:description/>
  <cp:lastModifiedBy>Teresita Yanancy Navarro Cerdas</cp:lastModifiedBy>
  <cp:revision/>
  <dcterms:created xsi:type="dcterms:W3CDTF">2025-08-08T20:38:37Z</dcterms:created>
  <dcterms:modified xsi:type="dcterms:W3CDTF">2025-10-22T10:26:14Z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0x0101009DCFD9E3CF9E01419E2B7C6F0C354909</vt:lpwstr>
  </property>
</Properties>
</file>